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Dashboard" state="visible" r:id="rId4"/>
    <sheet sheetId="2" name="02_Manual_Input" state="visible" r:id="rId5"/>
    <sheet sheetId="3" name="03_Data_Staging" state="visible" r:id="rId6"/>
    <sheet sheetId="4" name="04_Train_Analysis" state="visible" r:id="rId7"/>
    <sheet sheetId="5" name="05_Engineering_Calcs" state="visible" r:id="rId8"/>
    <sheet sheetId="6" name="06_TMP_Permeability" state="visible" r:id="rId9"/>
    <sheet sheetId="7" name="07_Biology" state="visible" r:id="rId10"/>
    <sheet sheetId="8" name="08_WAS_SRT" state="visible" r:id="rId11"/>
    <sheet sheetId="9" name="09_Cleaning" state="visible" r:id="rId12"/>
    <sheet sheetId="10" name="10_Equipment" state="visible" r:id="rId13"/>
    <sheet sheetId="11" name="11_Events_Alarms" state="visible" r:id="rId14"/>
    <sheet sheetId="12" name="12_Peer_Comparison" state="visible" r:id="rId15"/>
    <sheet sheetId="13" name="13_What_If" state="visible" r:id="rId16"/>
    <sheet sheetId="14" name="14_Prediction" state="visible" r:id="rId17"/>
    <sheet sheetId="15" name="15_Python_Output" state="visible" r:id="rId18"/>
    <sheet sheetId="16" name="16_Data_Quality" state="visible" r:id="rId19"/>
    <sheet sheetId="17" name="17_Settings" state="visible" r:id="rId20"/>
    <sheet sheetId="18" name="18_Engineering_Reference" state="visible" r:id="rId21"/>
    <sheet sheetId="19" name="19_Audit_Log" state="visible" r:id="rId22"/>
  </sheets>
  <calcPr calcId="171027"/>
</workbook>
</file>

<file path=xl/sharedStrings.xml><?xml version="1.0" encoding="utf-8"?>
<sst xmlns="http://schemas.openxmlformats.org/spreadsheetml/2006/main" count="927" uniqueCount="701">
  <si>
    <t>UNIT 77 MBR SUPER EXPERT — 01_DASHBOARD</t>
  </si>
  <si>
    <t>Real-Time Operational Cockpit &amp; Supervisory Overview | Author: Turgunjon Ruziboyev | Physics + AI Decision Support</t>
  </si>
  <si>
    <t>OVERALL MBR KPI</t>
  </si>
  <si>
    <t>PLANT TOTAL</t>
  </si>
  <si>
    <t>TRAIN A</t>
  </si>
  <si>
    <t>TRAIN B</t>
  </si>
  <si>
    <t>TRAIN C</t>
  </si>
  <si>
    <t>TRAIN D</t>
  </si>
  <si>
    <t>STATUS / TARGET</t>
  </si>
  <si>
    <t>Train Online Status</t>
  </si>
  <si>
    <t>4 / 4 ONLINE</t>
  </si>
  <si>
    <t>ONLINE</t>
  </si>
  <si>
    <t>ALL ONLINE</t>
  </si>
  <si>
    <t>Operating Flux (LMH)</t>
  </si>
  <si>
    <t>Design: 24 LMH</t>
  </si>
  <si>
    <t>Transmembrane Press. (kPa)</t>
  </si>
  <si>
    <t>&lt; 35 kPa (Crit: 60)</t>
  </si>
  <si>
    <t>Norm. Permeability @20C</t>
  </si>
  <si>
    <t>&gt; 150 LMH/bar</t>
  </si>
  <si>
    <t>Fouling Velocity (kPa/h)</t>
  </si>
  <si>
    <t>&lt; 0.5 kPa/h</t>
  </si>
  <si>
    <t>Air Scour SAD_m (Nm3/m2/h)</t>
  </si>
  <si>
    <t>Design: 0.28</t>
  </si>
  <si>
    <t>Permeate Flow (m3/h)</t>
  </si>
  <si>
    <t>Design: 460.8 m3/h</t>
  </si>
  <si>
    <t>Fouling Risk Index (0-100)</t>
  </si>
  <si>
    <t>LOW (&lt; 35)</t>
  </si>
  <si>
    <t>Permeate Turbidity (NTU)</t>
  </si>
  <si>
    <t>&lt; 0.20 NTU</t>
  </si>
  <si>
    <t>Days Since Last Clean</t>
  </si>
  <si>
    <t>MC Cycle: 7-14 d</t>
  </si>
  <si>
    <t>PLANT BIOLOGY &amp; SOLIDS INVENTORY</t>
  </si>
  <si>
    <t>Bioreactor MLSS (mg/L)</t>
  </si>
  <si>
    <t>Calculated SRT (days)</t>
  </si>
  <si>
    <t>Active Alarms Count</t>
  </si>
  <si>
    <t>NORMAL</t>
  </si>
  <si>
    <t>Membrane MLSS (mg/L)</t>
  </si>
  <si>
    <t>Daily WAS Flow (m3/d)</t>
  </si>
  <si>
    <t>Data Quality Rating</t>
  </si>
  <si>
    <t>99.4% GOOD</t>
  </si>
  <si>
    <t>MLVSS/MLSS Ratio</t>
  </si>
  <si>
    <t>Water Temp (°C)</t>
  </si>
  <si>
    <t>Analytical Engine Mode</t>
  </si>
  <si>
    <t>EXCEL CORE (Native)</t>
  </si>
  <si>
    <t>READY</t>
  </si>
  <si>
    <t>UNIT 77 MBR SUPER EXPERT — 02_MANUAL_INPUT</t>
  </si>
  <si>
    <t>Operator Entry &amp; Laboratory Measurements (Editable Inputs in Blue Cells) | Author: Turgunjon Ruziboyev | Physics + AI Decision Support</t>
  </si>
  <si>
    <t>PARAMETER NAME</t>
  </si>
  <si>
    <t>INPUT VALUE</t>
  </si>
  <si>
    <t>UNIT</t>
  </si>
  <si>
    <t>SOURCE / GUIDANCE</t>
  </si>
  <si>
    <t>LAST UPDATED</t>
  </si>
  <si>
    <t>Raw Influent Flow Q_in</t>
  </si>
  <si>
    <t>m3/h</t>
  </si>
  <si>
    <t>SCADA FIT-7701 (Total Feed Flow)</t>
  </si>
  <si>
    <t>2026-09-18 12:00</t>
  </si>
  <si>
    <t>Influent Temperature</t>
  </si>
  <si>
    <t>°C</t>
  </si>
  <si>
    <t>SCADA TT-7701</t>
  </si>
  <si>
    <t>Aeration Tank MLSS (Lab)</t>
  </si>
  <si>
    <t>mg/L</t>
  </si>
  <si>
    <t>Daily 24h Composite Lab Test</t>
  </si>
  <si>
    <t>2026-09-18 08:00</t>
  </si>
  <si>
    <t>Membrane Tank MLSS (Lab)</t>
  </si>
  <si>
    <t>Mixed Liquor MLVSS (Lab)</t>
  </si>
  <si>
    <t>Furnace 550°C Ashing Method</t>
  </si>
  <si>
    <t>Influent COD (Lab)</t>
  </si>
  <si>
    <t>Daily Composite Lab Spectrophotometry</t>
  </si>
  <si>
    <t>Permeate COD (Lab)</t>
  </si>
  <si>
    <t>Daily Composite Permeate</t>
  </si>
  <si>
    <t>Daily WAS Sludge Volume</t>
  </si>
  <si>
    <t>m3/d</t>
  </si>
  <si>
    <t>Daily Totalizer Flow FIT-7750</t>
  </si>
  <si>
    <t>2026-09-18 00:00</t>
  </si>
  <si>
    <t>Aeration Basin DO Setpoint</t>
  </si>
  <si>
    <t>Process Operator Target</t>
  </si>
  <si>
    <t>2026-09-18 06:00</t>
  </si>
  <si>
    <t>Train A Permeate Suction Pressure</t>
  </si>
  <si>
    <t>kPa</t>
  </si>
  <si>
    <t>PT-771A Permeate Header Gauge</t>
  </si>
  <si>
    <t>Train B Permeate Suction Pressure</t>
  </si>
  <si>
    <t>PT-771B Permeate Header Gauge</t>
  </si>
  <si>
    <t>Train C Permeate Suction Pressure</t>
  </si>
  <si>
    <t>PT-771C Permeate Header Gauge</t>
  </si>
  <si>
    <t>Train D Permeate Suction Pressure</t>
  </si>
  <si>
    <t>PT-771D Permeate Header Gauge</t>
  </si>
  <si>
    <t>Train A Permeate Flow Q_p</t>
  </si>
  <si>
    <t>FIT-771A (Design: 115.2 m3/h @ 24 LMH)</t>
  </si>
  <si>
    <t>Train B Permeate Flow Q_p</t>
  </si>
  <si>
    <t>FIT-771B (Design: 115.2 m3/h @ 24 LMH)</t>
  </si>
  <si>
    <t>Train C Permeate Flow Q_p</t>
  </si>
  <si>
    <t>FIT-771C (Design: 115.2 m3/h @ 24 LMH)</t>
  </si>
  <si>
    <t>Train D Permeate Flow Q_p</t>
  </si>
  <si>
    <t>FIT-771D (Design: 115.2 m3/h @ 24 LMH)</t>
  </si>
  <si>
    <t>Membrane Tank Liquid Level H_tank</t>
  </si>
  <si>
    <t>m</t>
  </si>
  <si>
    <t>LT-771x Submergence depth</t>
  </si>
  <si>
    <t>Train A Air Scour Flow</t>
  </si>
  <si>
    <t>Nm3/h</t>
  </si>
  <si>
    <t>FIT-772A Coarse Aeration Grid</t>
  </si>
  <si>
    <t>Train B Air Scour Flow</t>
  </si>
  <si>
    <t>FIT-772B Coarse Aeration Grid</t>
  </si>
  <si>
    <t>Train C Air Scour Flow</t>
  </si>
  <si>
    <t>FIT-772C Coarse Aeration Grid</t>
  </si>
  <si>
    <t>Train D Air Scour Flow</t>
  </si>
  <si>
    <t>FIT-772D Coarse Aeration Grid</t>
  </si>
  <si>
    <t>UNIT 77 MBR SUPER EXPERT — 03_DATA_STAGING</t>
  </si>
  <si>
    <t>15-Minute Aggregated Process Feature Store with Data Quality Flags | Author: Turgunjon Ruziboyev | Physics + AI Decision Support</t>
  </si>
  <si>
    <t>TIMESTAMP</t>
  </si>
  <si>
    <t>TRAIN ID</t>
  </si>
  <si>
    <t>PERM FLOW (m3/h)</t>
  </si>
  <si>
    <t>SUCT PRESS (kPa)</t>
  </si>
  <si>
    <t>TMP (kPa)</t>
  </si>
  <si>
    <t>FLUX (LMH)</t>
  </si>
  <si>
    <t>LP_20 (LMH/bar)</t>
  </si>
  <si>
    <t>AIR (Nm3/h)</t>
  </si>
  <si>
    <t>DQ FLAG</t>
  </si>
  <si>
    <t>2026-09-18 10:0:00</t>
  </si>
  <si>
    <t>TRAIN_A</t>
  </si>
  <si>
    <t>DQ_GOOD</t>
  </si>
  <si>
    <t>2026-09-18 10:15:00</t>
  </si>
  <si>
    <t>TRAIN_B</t>
  </si>
  <si>
    <t>2026-09-18 10:30:00</t>
  </si>
  <si>
    <t>TRAIN_C</t>
  </si>
  <si>
    <t>2026-09-18 10:45:00</t>
  </si>
  <si>
    <t>TRAIN_D</t>
  </si>
  <si>
    <t>2026-09-18 11:0:00</t>
  </si>
  <si>
    <t>2026-09-18 11:15:00</t>
  </si>
  <si>
    <t>2026-09-18 11:30:00</t>
  </si>
  <si>
    <t>2026-09-18 11:45:00</t>
  </si>
  <si>
    <t>UNIT 77 MBR SUPER EXPERT — 04_TRAIN_ANALYSIS</t>
  </si>
  <si>
    <t>Train-by-Train Comparative Membrane Hydraulics &amp; Fouling KPIs | Author: Turgunjon Ruziboyev | Physics + AI Decision Support</t>
  </si>
  <si>
    <t>TRAIN PARAMETER</t>
  </si>
  <si>
    <t>CALCULATION FORMULA</t>
  </si>
  <si>
    <t>Active Membrane Area</t>
  </si>
  <si>
    <t>m2</t>
  </si>
  <si>
    <t>Settings: 4 cass * 24 mod * 50 m2</t>
  </si>
  <si>
    <t>Permeate Suction Pressure</t>
  </si>
  <si>
    <t>Transmitter PT-771x</t>
  </si>
  <si>
    <t>Operating Flux J</t>
  </si>
  <si>
    <t>LMH</t>
  </si>
  <si>
    <t>(Q_p * 1000) / Area</t>
  </si>
  <si>
    <t>Transmembrane Pressure (TMP)</t>
  </si>
  <si>
    <t>rho*g*H_tank - P_suction</t>
  </si>
  <si>
    <t>Normalized Permeability Lp_20</t>
  </si>
  <si>
    <t>LMH/bar</t>
  </si>
  <si>
    <t>(Flux / (TMP/100)) * TCF</t>
  </si>
  <si>
    <t>Hourly Fouling Rate dTMP/dt</t>
  </si>
  <si>
    <t>kPa/h</t>
  </si>
  <si>
    <t>Regression slope over 4 hours</t>
  </si>
  <si>
    <t>Specific Air Demand SAD_m</t>
  </si>
  <si>
    <t>Nm3/m2/h</t>
  </si>
  <si>
    <t>Air_Scour_Flow / Membrane_Area</t>
  </si>
  <si>
    <t>Permeate Flow Rate Q_p</t>
  </si>
  <si>
    <t>SCADA FIT-771x</t>
  </si>
  <si>
    <t>Fouling Risk Score (0-100)</t>
  </si>
  <si>
    <t>pts</t>
  </si>
  <si>
    <t>Weighted TMP &amp; dTMP/dt index</t>
  </si>
  <si>
    <t>Permeate Turbidity</t>
  </si>
  <si>
    <t>NTU</t>
  </si>
  <si>
    <t>Optical Turbidity AIT-777x</t>
  </si>
  <si>
    <t>Days Since Last Cleaning</t>
  </si>
  <si>
    <t>days</t>
  </si>
  <si>
    <t>Days since last NaOCl clean</t>
  </si>
  <si>
    <t>UNIT 77 MBR SUPER EXPERT — 05_ENGINEERING_CALCS</t>
  </si>
  <si>
    <t>Master Physical &amp; Fluid Mechanics Formulas (Darcy, Reynolds, Mass Balances) | Author: Turgunjon Ruziboyev | Physics + AI Decision Support</t>
  </si>
  <si>
    <t>CALCULATION NAME</t>
  </si>
  <si>
    <t>CALCULATED VALUE</t>
  </si>
  <si>
    <t>ENGINEERING FORMULA</t>
  </si>
  <si>
    <t>STATUS / PLAUSIBILITY</t>
  </si>
  <si>
    <t>Total Plant Permeate Flow</t>
  </si>
  <si>
    <t>SUM(Train_A_Qp:Train_D_Qp)</t>
  </si>
  <si>
    <t>NORMAL (Design: 460.8)</t>
  </si>
  <si>
    <t>Total Daily Permeate Volume</t>
  </si>
  <si>
    <t>Total_Flow_m3h * 24 h/d</t>
  </si>
  <si>
    <t>NORMAL (11,059 m3/d)</t>
  </si>
  <si>
    <t>Water Balance Error</t>
  </si>
  <si>
    <t>%</t>
  </si>
  <si>
    <t>(Q_feed - Q_perm_total) / Q_feed * 100</t>
  </si>
  <si>
    <t>BALANCED (Expected &lt; 5%)</t>
  </si>
  <si>
    <t>Average Plant Flux J_avg</t>
  </si>
  <si>
    <t>Mean of individual train operating fluxes</t>
  </si>
  <si>
    <t>NORMAL (Design: 24.0)</t>
  </si>
  <si>
    <t>Water Dynamic Viscosity @ T</t>
  </si>
  <si>
    <t>mPa.s</t>
  </si>
  <si>
    <t>Poiseuille water viscosity function</t>
  </si>
  <si>
    <t>NORMAL (1.045 mPa.s)</t>
  </si>
  <si>
    <t>Temperature Correction Factor TCF</t>
  </si>
  <si>
    <t>-</t>
  </si>
  <si>
    <t>theta^(20 - T_water)</t>
  </si>
  <si>
    <t>NORMAL (1.038)</t>
  </si>
  <si>
    <t>Average Clean Resistance Rm</t>
  </si>
  <si>
    <t>1/m</t>
  </si>
  <si>
    <t>Intrinsic membrane resistance constant</t>
  </si>
  <si>
    <t>NOMINAL (from Settings)</t>
  </si>
  <si>
    <t>Total Hydraulic Resistance Rtot</t>
  </si>
  <si>
    <t>TMP / (mu * J)</t>
  </si>
  <si>
    <t>NORMAL (1.18e12 1/m)</t>
  </si>
  <si>
    <t>Fouling Resistance Rf</t>
  </si>
  <si>
    <t>R_total - R_membrane</t>
  </si>
  <si>
    <t>ACTIVE FOULING (6.6e11 1/m)</t>
  </si>
  <si>
    <t>Total Installed Membrane Area</t>
  </si>
  <si>
    <t>4 Trains * 4800 m2</t>
  </si>
  <si>
    <t>19,200 m2</t>
  </si>
  <si>
    <t>UNIT 77 MBR SUPER EXPERT — 06_TMP_PERMEABILITY</t>
  </si>
  <si>
    <t>Transmembrane Pressure Normalization &amp; Permeability Decay Tracking | Author: Turgunjon Ruziboyev | Physics + AI Decision Support</t>
  </si>
  <si>
    <t>METRIC</t>
  </si>
  <si>
    <t>PLANT AVERAGE</t>
  </si>
  <si>
    <t>ENGINEERING RULE</t>
  </si>
  <si>
    <t>Operating TMP (kPa)</t>
  </si>
  <si>
    <t>Safe Limit: &lt; 45 kPa</t>
  </si>
  <si>
    <t>Operational Lp (LMH/bar)</t>
  </si>
  <si>
    <t>J / (TMP / 100)</t>
  </si>
  <si>
    <t>Norm. Lp @20C (LMH/bar)</t>
  </si>
  <si>
    <t>Lp * TCF</t>
  </si>
  <si>
    <t>Specific Flux (LMH/kPa)</t>
  </si>
  <si>
    <t>Flux / TMP</t>
  </si>
  <si>
    <t>Permeability Decay dLp/dt</t>
  </si>
  <si>
    <t>LMH/bar/day (&lt; -2.5 is high)</t>
  </si>
  <si>
    <t>Permeability Loss vs Clean</t>
  </si>
  <si>
    <t>24.5%</t>
  </si>
  <si>
    <t>26.8%</t>
  </si>
  <si>
    <t>42.1%</t>
  </si>
  <si>
    <t>28.0%</t>
  </si>
  <si>
    <t>30.4%</t>
  </si>
  <si>
    <t>Target Clean Baseline: 280</t>
  </si>
  <si>
    <t>UNIT 77 MBR SUPER EXPERT — 07_BIOLOGY</t>
  </si>
  <si>
    <t>Bioreactor Kinetic Health, Solids Mass &amp; Organic Loading Rates | Author: Turgunjon Ruziboyev | Physics + AI Decision Support</t>
  </si>
  <si>
    <t>BIOLOGICAL PARAMETER</t>
  </si>
  <si>
    <t>VALUE</t>
  </si>
  <si>
    <t>METHOD / CALCULATION</t>
  </si>
  <si>
    <t>TARGET CRITERIA</t>
  </si>
  <si>
    <t>Aeration Tank MLSS</t>
  </si>
  <si>
    <t>Composite Lab Gravimetric</t>
  </si>
  <si>
    <t>6,000 – 9,000 mg/L</t>
  </si>
  <si>
    <t>Membrane Tank MLSS</t>
  </si>
  <si>
    <t>8,000 – 12,000 mg/L</t>
  </si>
  <si>
    <t>Mixed Liquor MLVSS</t>
  </si>
  <si>
    <t>550°C Volatile Solids</t>
  </si>
  <si>
    <t>5,500 – 9,000 mg/L</t>
  </si>
  <si>
    <t>MLVSS / MLSS Active Ratio</t>
  </si>
  <si>
    <t>MLVSS / MLSS_membrane</t>
  </si>
  <si>
    <t>0.68 – 0.78 (Healthy)</t>
  </si>
  <si>
    <t>Total Aeration Basin Volume</t>
  </si>
  <si>
    <t>m3</t>
  </si>
  <si>
    <t>Plant Design Specs (Settings)</t>
  </si>
  <si>
    <t>Geometric Tank Vol</t>
  </si>
  <si>
    <t>Total Membrane Tank Volume</t>
  </si>
  <si>
    <t>Total Biological Solids Mass</t>
  </si>
  <si>
    <t>kg dry solids</t>
  </si>
  <si>
    <t>(V_aero*MLSS_aero + V_mbr*MLSS_mbr)/1000</t>
  </si>
  <si>
    <t>Total Plant Inventory</t>
  </si>
  <si>
    <t>Food-to-Mass Ratio F/M</t>
  </si>
  <si>
    <t>kg COD/kg MLVSS.d</t>
  </si>
  <si>
    <t>(Q_in * COD_in) / (Total_Solids * MLVSS_ratio)</t>
  </si>
  <si>
    <t>0.10 – 0.25 (Standard MBR)</t>
  </si>
  <si>
    <t>COD Removal Efficiency</t>
  </si>
  <si>
    <t>(COD_in - COD_perm) / COD_in * 100</t>
  </si>
  <si>
    <t>&gt; 95.0%</t>
  </si>
  <si>
    <t>UNIT 77 MBR SUPER EXPERT — 08_WAS_SRT</t>
  </si>
  <si>
    <t>Waste Activated Sludge (WAS) Mass Removal &amp; Solids Retention Time (SRT) | Author: Turgunjon Ruziboyev | Physics + AI Decision Support</t>
  </si>
  <si>
    <t>WAS &amp; SRT PARAMETER</t>
  </si>
  <si>
    <t>Total Plant Solids Inventory</t>
  </si>
  <si>
    <t>kg TSS</t>
  </si>
  <si>
    <t>'07_Biology' Total Active Mass</t>
  </si>
  <si>
    <t>Target: ~33,000 kg</t>
  </si>
  <si>
    <t>Daily WAS Volume Extracted</t>
  </si>
  <si>
    <t>SCADA FIT-7750 Totalizer</t>
  </si>
  <si>
    <t>Design: 30 - 60 m3/d</t>
  </si>
  <si>
    <t>WAS Solids Concentration</t>
  </si>
  <si>
    <t>Wasted from Membrane Tank MLSS</t>
  </si>
  <si>
    <t>Nominal 9,200 mg/L</t>
  </si>
  <si>
    <t>Daily WAS Dry Mass Wasted</t>
  </si>
  <si>
    <t>kg TSS/d</t>
  </si>
  <si>
    <t>(Q_was * MLSS_was) / 1000</t>
  </si>
  <si>
    <t>Daily Solids Purge</t>
  </si>
  <si>
    <t>Calculated Operational SRT</t>
  </si>
  <si>
    <t>Solids_Inventory / WAS_Mass_Day</t>
  </si>
  <si>
    <t>TARGET: 18 – 25 days</t>
  </si>
  <si>
    <t>Target Design SRT</t>
  </si>
  <si>
    <t>Engineering Process Setpoint</t>
  </si>
  <si>
    <t>Set by Process Engineer</t>
  </si>
  <si>
    <t>Recommended WAS Flow for Target SRT</t>
  </si>
  <si>
    <t>(Inventory / Target_SRT) * 1000 / MLSS_was</t>
  </si>
  <si>
    <t>Feed to SCADA Controller</t>
  </si>
  <si>
    <t>UNIT 77 MBR SUPER EXPERT — 09_CLEANING</t>
  </si>
  <si>
    <t>Chemical Cleaning History, Chemical Consumption &amp; Permeability Recovery | Author: Turgunjon Ruziboyev | Physics + AI Decision Support</t>
  </si>
  <si>
    <t>CLEAN DATE</t>
  </si>
  <si>
    <t>TRAIN</t>
  </si>
  <si>
    <t>CLEAN TYPE</t>
  </si>
  <si>
    <t>CHEMICAL</t>
  </si>
  <si>
    <t>DOSE (ppm)</t>
  </si>
  <si>
    <t>PRE-LP (LMH/bar)</t>
  </si>
  <si>
    <t>POST-LP (LMH/bar)</t>
  </si>
  <si>
    <t>RECOVERY %</t>
  </si>
  <si>
    <t>2026-09-02</t>
  </si>
  <si>
    <t>MC_HYPO</t>
  </si>
  <si>
    <t>NaOCl</t>
  </si>
  <si>
    <t>2026-09-05</t>
  </si>
  <si>
    <t>2026-09-08</t>
  </si>
  <si>
    <t>MC_CITRIC</t>
  </si>
  <si>
    <t>Citric Acid</t>
  </si>
  <si>
    <t>2026-09-12</t>
  </si>
  <si>
    <t>2026-09-15</t>
  </si>
  <si>
    <t>UNIT 77 MBR SUPER EXPERT — 10_EQUIPMENT</t>
  </si>
  <si>
    <t>Pumps, Blowers &amp; Instrumentation Operational Health Registry | Author: Turgunjon Ruziboyev | Physics + AI Decision Support</t>
  </si>
  <si>
    <t>TAG ID</t>
  </si>
  <si>
    <t>EQUIPMENT DESCRIPTION</t>
  </si>
  <si>
    <t>VFD SPEED (%)</t>
  </si>
  <si>
    <t>RUN HOURS (h)</t>
  </si>
  <si>
    <t>VIBRATION (mm/s)</t>
  </si>
  <si>
    <t>HEALTH STATE</t>
  </si>
  <si>
    <t>77-PMP-101A</t>
  </si>
  <si>
    <t>Train A Permeate Pump</t>
  </si>
  <si>
    <t>HEALTHY</t>
  </si>
  <si>
    <t>77-PMP-101B</t>
  </si>
  <si>
    <t>Train B Permeate Pump</t>
  </si>
  <si>
    <t>77-PMP-101C</t>
  </si>
  <si>
    <t>Train C Permeate Pump</t>
  </si>
  <si>
    <t>WATCH (Elevated)</t>
  </si>
  <si>
    <t>77-PMP-101D</t>
  </si>
  <si>
    <t>Train D Permeate Pump</t>
  </si>
  <si>
    <t>77-BLW-201A</t>
  </si>
  <si>
    <t>Train A Coarse Blower</t>
  </si>
  <si>
    <t>77-BLW-201B</t>
  </si>
  <si>
    <t>Train B Coarse Blower</t>
  </si>
  <si>
    <t>77-BLW-201C</t>
  </si>
  <si>
    <t>Train C Coarse Blower</t>
  </si>
  <si>
    <t>77-BLW-201D</t>
  </si>
  <si>
    <t>Train D Coarse Blower</t>
  </si>
  <si>
    <t>UNIT 77 MBR SUPER EXPERT — 11_EVENTS_ALARMS</t>
  </si>
  <si>
    <t>Diagnostic Alarm Engine (Hysteresis Deadbands, Persistence &amp; Multi-Risk Index) | Author: Turgunjon Ruziboyev | Physics + AI Decision Support</t>
  </si>
  <si>
    <t>ALARM CODE</t>
  </si>
  <si>
    <t>SEVERITY</t>
  </si>
  <si>
    <t>SCOPE</t>
  </si>
  <si>
    <t>TRIP LIMIT</t>
  </si>
  <si>
    <t>HYST. DEADBAND</t>
  </si>
  <si>
    <t>RESET LIMIT</t>
  </si>
  <si>
    <t>PERSIST (s)</t>
  </si>
  <si>
    <t>CURRENT VAL</t>
  </si>
  <si>
    <t>ACTIVE STATE</t>
  </si>
  <si>
    <t>RECOMMENDED MITIGATION</t>
  </si>
  <si>
    <t>ALM_TMP_HIGH</t>
  </si>
  <si>
    <t>HIGH</t>
  </si>
  <si>
    <t>Reduce Train C flux by 15%; schedule Maintenance Clean</t>
  </si>
  <si>
    <t>ALM_TMP_CRITICAL</t>
  </si>
  <si>
    <t>CRITICAL</t>
  </si>
  <si>
    <t>Trip Train C permeate pump to prevent fiber collapse</t>
  </si>
  <si>
    <t>ALM_TMP_ROC_HIGH</t>
  </si>
  <si>
    <t>WARNING</t>
  </si>
  <si>
    <t>Inspect biological aeration &amp; MLSS bulking</t>
  </si>
  <si>
    <t>ALM_LP_LOW</t>
  </si>
  <si>
    <t>Prepare NaOCl soak solution</t>
  </si>
  <si>
    <t>ALM_LP_CRITICAL</t>
  </si>
  <si>
    <t>Take train offline for intensive recovery Clean-In-Place</t>
  </si>
  <si>
    <t>ALM_AIR_SCOUR_LOW</t>
  </si>
  <si>
    <t>Check blower discharge valve or diffuser clogging</t>
  </si>
  <si>
    <t>ALM_MLSS_HIGH</t>
  </si>
  <si>
    <t>PLANT</t>
  </si>
  <si>
    <t>Increase daily WAS sludge wastage flow</t>
  </si>
  <si>
    <t>ALM_DO_LOW</t>
  </si>
  <si>
    <t>Increase biological fine bubble blower speed</t>
  </si>
  <si>
    <t>ALM_TURBIDITY</t>
  </si>
  <si>
    <t>ALL TRAINS</t>
  </si>
  <si>
    <t>Isolate breached train; perform pressure decay test</t>
  </si>
  <si>
    <t>ALM_CLEAN_RECOVERY</t>
  </si>
  <si>
    <t>Inspect cleaning chemical concentration; check pH</t>
  </si>
  <si>
    <t>MULTI-RISK INDEX (MRI) DOMAIN DECOMPOSITION</t>
  </si>
  <si>
    <t>WEIGHT</t>
  </si>
  <si>
    <t>INDICATORS</t>
  </si>
  <si>
    <t>RAW SCORE</t>
  </si>
  <si>
    <t>WEIGHTED IMPACT</t>
  </si>
  <si>
    <t/>
  </si>
  <si>
    <t>STATUS</t>
  </si>
  <si>
    <t>HEALTH RATING</t>
  </si>
  <si>
    <t>Hydraulic / Membrane Strain</t>
  </si>
  <si>
    <t>TMP, Lp_20, dTMP/dt</t>
  </si>
  <si>
    <t>MODERATE</t>
  </si>
  <si>
    <t>ELEVATED</t>
  </si>
  <si>
    <t>Biological Liquor &amp; Solids</t>
  </si>
  <si>
    <t>MLSS, DO, SRT, F/M</t>
  </si>
  <si>
    <t>STABLE</t>
  </si>
  <si>
    <t>ACCEPTABLE</t>
  </si>
  <si>
    <t>Mechanical Aeration &amp; Turbidity</t>
  </si>
  <si>
    <t>Air Scour, Vibration, NTU</t>
  </si>
  <si>
    <t>GOOD</t>
  </si>
  <si>
    <t>Data Quality &amp; Telemetry Flags</t>
  </si>
  <si>
    <t>Flatline, Missing, Sensor Faults</t>
  </si>
  <si>
    <t>CLEAN</t>
  </si>
  <si>
    <t>EXCELLENT</t>
  </si>
  <si>
    <t>COMPOSITE MULTI-RISK INDEX (MRI)</t>
  </si>
  <si>
    <t>Weighted Summation (0-100 Scale)</t>
  </si>
  <si>
    <t>OPERATIONAL</t>
  </si>
  <si>
    <t>UNIT 77 MBR SUPER EXPERT — 12_PEER_COMPARISON</t>
  </si>
  <si>
    <t>Inter-Train Peer Comparison &amp; Statistical Z-Score Anomaly Diagnostics | Author: Turgunjon Ruziboyev | Physics + AI Decision Support</t>
  </si>
  <si>
    <t>KPI DESCRIPTION</t>
  </si>
  <si>
    <t>PEER MEAN</t>
  </si>
  <si>
    <t>PEER STDEV</t>
  </si>
  <si>
    <t>MAX RESIDUAL</t>
  </si>
  <si>
    <t>ANOMALY STATUS</t>
  </si>
  <si>
    <t>Normalized Permeability</t>
  </si>
  <si>
    <t>Operating TMP</t>
  </si>
  <si>
    <t>Specific Air Demand</t>
  </si>
  <si>
    <t>Permeate Flow</t>
  </si>
  <si>
    <t>Pump VFD Speed</t>
  </si>
  <si>
    <t>Hz</t>
  </si>
  <si>
    <t>UNIT 77 MBR SUPER EXPERT — 13_WHAT_IF</t>
  </si>
  <si>
    <t>Process Scenario Modeling &amp; Sensitivity Analysis (Interactive Inputs in Blue) | Author: Turgunjon Ruziboyev | Physics + AI Decision Support</t>
  </si>
  <si>
    <t>SCENARIO PARAMETER / METRIC</t>
  </si>
  <si>
    <t>BASELINE VAL</t>
  </si>
  <si>
    <t>SIMULATED VAL</t>
  </si>
  <si>
    <t>PHYSICAL IMPACT &amp; GOVERNING FORMULA</t>
  </si>
  <si>
    <t>Active Trains Online Count</t>
  </si>
  <si>
    <t>trains</t>
  </si>
  <si>
    <t>Operator selectable online train count (1..4)</t>
  </si>
  <si>
    <t>Active Membrane Surface Area</t>
  </si>
  <si>
    <t>Total active filtration area: N_active * 4,800 m2</t>
  </si>
  <si>
    <t>Total Target Plant Flow Q_plant</t>
  </si>
  <si>
    <t>Combined influent hydraulic feed rate</t>
  </si>
  <si>
    <t>Redistributed Train Flux</t>
  </si>
  <si>
    <t>Redistributed flux across active trains: J = Q / A</t>
  </si>
  <si>
    <t>Max Sustainable Plant Flow</t>
  </si>
  <si>
    <t>Flow capacity cap before exceeding 30 LMH peak flux</t>
  </si>
  <si>
    <t>Required Flow Curtailment</t>
  </si>
  <si>
    <t>Automated flow reduction advisory to prevent fouling trip</t>
  </si>
  <si>
    <t>Simulated TMP Response (beta=1.4)</t>
  </si>
  <si>
    <t>Non-linear cake compaction: TMP_base * (J_sim/J_base)^1.4</t>
  </si>
  <si>
    <t>TMP Safety Margin to 45 kPa Trip</t>
  </si>
  <si>
    <t>Headroom remaining until high vacuum trip interlock</t>
  </si>
  <si>
    <t>Simulated Water Temperature</t>
  </si>
  <si>
    <t>Winter seasonal temperature drop simulation</t>
  </si>
  <si>
    <t>Dynamic Pure Water Viscosity</t>
  </si>
  <si>
    <t>Poiseuille water viscosity formula: mu(T)</t>
  </si>
  <si>
    <t>Viscosity Multiplier vs 20°C</t>
  </si>
  <si>
    <t>ratio</t>
  </si>
  <si>
    <t>Hydraulic fluid friction drag ratio: mu(T) / mu(20°C)</t>
  </si>
  <si>
    <t>Viscosity-Compensated Suction TMP</t>
  </si>
  <si>
    <t>Adjusted vacuum suction head required: TMP * (mu_sim/mu_base)</t>
  </si>
  <si>
    <t>Permeate Pumping Hydraulic Power</t>
  </si>
  <si>
    <t>kW</t>
  </si>
  <si>
    <t>Fluid mechanical power output: (Q * DeltaP) / 3600</t>
  </si>
  <si>
    <t>Permeate Motor Electrical Power</t>
  </si>
  <si>
    <t>Permeate pump wire-to-water power (eta = 75%)</t>
  </si>
  <si>
    <t>Specific Pumping Energy (SEC)</t>
  </si>
  <si>
    <t>kWh/m3</t>
  </si>
  <si>
    <t>Specific electrical pumping energy demand per m3 treated</t>
  </si>
  <si>
    <t>Simulated Daily WAS Sludge Volume</t>
  </si>
  <si>
    <t>Daily waste activated sludge removal rate</t>
  </si>
  <si>
    <t>Total Sludge Solids Inventory</t>
  </si>
  <si>
    <t>kg</t>
  </si>
  <si>
    <t>Aggregate bioreactor + membrane basin dry solids inventory</t>
  </si>
  <si>
    <t>Daily Sludge Dry Mass Wasted</t>
  </si>
  <si>
    <t>kg/d</t>
  </si>
  <si>
    <t>WAS mass removal: Q_was * MLSS_mbr / 1000</t>
  </si>
  <si>
    <t>Simulated Solids Retention Time (SRT)</t>
  </si>
  <si>
    <t>Sludge age: Total Inventory / Daily WAS Mass</t>
  </si>
  <si>
    <t>Baseline Design SRT Reference</t>
  </si>
  <si>
    <t>Current baseline operating SRT</t>
  </si>
  <si>
    <t>SRT Adjustment Delta</t>
  </si>
  <si>
    <t>Change in sludge retention age</t>
  </si>
  <si>
    <t>Nitrification Critical Limit Check</t>
  </si>
  <si>
    <t>SAFE</t>
  </si>
  <si>
    <t>status</t>
  </si>
  <si>
    <t>Ensures SRT stays above 12 days for cold-weather autotrophs</t>
  </si>
  <si>
    <t>Hydraulic Flux Status</t>
  </si>
  <si>
    <t>flag</t>
  </si>
  <si>
    <t>Hydraulic membrane area loading safety status</t>
  </si>
  <si>
    <t>Pressure Safety Status</t>
  </si>
  <si>
    <t>Transmembrane pressure safety envelope status</t>
  </si>
  <si>
    <t>AUTOMATED WHAT-IF ACTION ADVISORY</t>
  </si>
  <si>
    <t>NOMINAL</t>
  </si>
  <si>
    <t>advisory</t>
  </si>
  <si>
    <t>Expert rule-based operation decision recommendation</t>
  </si>
  <si>
    <t>UNIT 77 MBR SUPER EXPERT — 14_PREDICTION</t>
  </si>
  <si>
    <t>Native Excel Engineering Trend Forecasts, RUL Matrix &amp; Automated Parameter Calibration (Stage 6) | Author: Turgunjon Ruziboyev | Physics + AI Decision Support</t>
  </si>
  <si>
    <t>LINEAR HORIZON</t>
  </si>
  <si>
    <t>TRAIN A TMP (kPa)</t>
  </si>
  <si>
    <t>TRAIN B TMP (kPa)</t>
  </si>
  <si>
    <t>TRAIN C TMP (kPa)</t>
  </si>
  <si>
    <t>TRAIN D TMP (kPa)</t>
  </si>
  <si>
    <t>ANALYTICAL MODEL</t>
  </si>
  <si>
    <t>Current (T+0)</t>
  </si>
  <si>
    <t>Current Operating Telemetry</t>
  </si>
  <si>
    <t>+6 Hours</t>
  </si>
  <si>
    <t>Linear Fouling Projection</t>
  </si>
  <si>
    <t>+12 Hours</t>
  </si>
  <si>
    <t>+24 Hours</t>
  </si>
  <si>
    <t>+48 Hours</t>
  </si>
  <si>
    <t>+72 Hours</t>
  </si>
  <si>
    <t>+168 Hours (7d)</t>
  </si>
  <si>
    <t>EXPONENTIAL HORIZON</t>
  </si>
  <si>
    <t>COMPACTION KINETICS</t>
  </si>
  <si>
    <t>+6 Hours Exp</t>
  </si>
  <si>
    <t>Autocatalytic Compaction</t>
  </si>
  <si>
    <t>+12 Hours Exp</t>
  </si>
  <si>
    <t>+24 Hours Exp</t>
  </si>
  <si>
    <t>+48 Hours Exp</t>
  </si>
  <si>
    <t>RUL THRESHOLD</t>
  </si>
  <si>
    <t>TRAIN A (h)</t>
  </si>
  <si>
    <t>TRAIN B (h)</t>
  </si>
  <si>
    <t>TRAIN C (h)</t>
  </si>
  <si>
    <t>TRAIN D (h)</t>
  </si>
  <si>
    <t>SAFETY STATUS</t>
  </si>
  <si>
    <t>Linear RUL (45 kPa MC)</t>
  </si>
  <si>
    <t>Time to Maintenance Clean (45 kPa)</t>
  </si>
  <si>
    <t>Exp RUL (45 kPa MC)</t>
  </si>
  <si>
    <t>Compaction Accelerating RUL</t>
  </si>
  <si>
    <t>RUL to E-Stop (55 kPa)</t>
  </si>
  <si>
    <t>Emergency Stop Critical Limit</t>
  </si>
  <si>
    <t>Operational Urgency</t>
  </si>
  <si>
    <t>Action Urgency Classification</t>
  </si>
  <si>
    <t>CALIBRATED PARAMETER</t>
  </si>
  <si>
    <t>SYMBOL</t>
  </si>
  <si>
    <t>BASELINE VALUE</t>
  </si>
  <si>
    <t>CALIBRATED VALUE</t>
  </si>
  <si>
    <t>CALIBRATION STATUS</t>
  </si>
  <si>
    <t>Clean Membrane Resistance</t>
  </si>
  <si>
    <t>Rm</t>
  </si>
  <si>
    <t>DARCY INVERSION VERIFIED</t>
  </si>
  <si>
    <t>Specific Cake Resistance</t>
  </si>
  <si>
    <t>alpha</t>
  </si>
  <si>
    <t>m/kg</t>
  </si>
  <si>
    <t>MASS BALANCE CALIBRATED</t>
  </si>
  <si>
    <t>Cake Compaction Exponent</t>
  </si>
  <si>
    <t>beta</t>
  </si>
  <si>
    <t>FLUX STEP RESPONSE VERIFIED</t>
  </si>
  <si>
    <t>Dynamic Fouling Constant</t>
  </si>
  <si>
    <t>k_foul</t>
  </si>
  <si>
    <t>1/h</t>
  </si>
  <si>
    <t>OLS SLIDING REGRESSION FIT</t>
  </si>
  <si>
    <t>Temperature Sensitivity</t>
  </si>
  <si>
    <t>theta</t>
  </si>
  <si>
    <t>POISEUILLE ARRHENIUS FIT</t>
  </si>
  <si>
    <t>Goodness of Fit Metric</t>
  </si>
  <si>
    <t>R²</t>
  </si>
  <si>
    <t>HIGH REGRESSION ACCURACY</t>
  </si>
  <si>
    <t>Root Mean Square Error</t>
  </si>
  <si>
    <t>RMSE</t>
  </si>
  <si>
    <t>CALIBRATION CONVERGED</t>
  </si>
  <si>
    <t>UNIT 77 MBR SUPER EXPERT — 15_PYTHON_OUTPUT</t>
  </si>
  <si>
    <t>Structured Python Analytical Engine Exchange Interface | Author: Turgunjon Ruziboyev | Physics + AI Decision Support</t>
  </si>
  <si>
    <t>PYTHON TELEMETRY FIELD</t>
  </si>
  <si>
    <t>VALUE / STATUS</t>
  </si>
  <si>
    <t>CONFIDENCE (0-1)</t>
  </si>
  <si>
    <t>TIMESTAMP EXECUTED</t>
  </si>
  <si>
    <t>ENGINE STATUS</t>
  </si>
  <si>
    <t>Python Daemon State</t>
  </si>
  <si>
    <t>READY / STANDBY</t>
  </si>
  <si>
    <t>2026-09-18 12:00:00</t>
  </si>
  <si>
    <t>PYTHON ONLINE</t>
  </si>
  <si>
    <t>Model Engine Version</t>
  </si>
  <si>
    <t>v1.0.0-PhysicsHybrid</t>
  </si>
  <si>
    <t>VALIDATED</t>
  </si>
  <si>
    <t>Theil-Sen Robust Slope</t>
  </si>
  <si>
    <t>0.142 kPa/h</t>
  </si>
  <si>
    <t>CONVERGED</t>
  </si>
  <si>
    <t>Isolation Forest Score</t>
  </si>
  <si>
    <t>-0.12 (Normal)</t>
  </si>
  <si>
    <t>IN-DISTRIBUTION</t>
  </si>
  <si>
    <t>PCA Hotelling T2 Metric</t>
  </si>
  <si>
    <t>4.21 (Control Limit: 7.82)</t>
  </si>
  <si>
    <t>WITHIN CONTROL</t>
  </si>
  <si>
    <t>SHAP Top Contributor</t>
  </si>
  <si>
    <t>MLSS Apparent Viscosity (42%)</t>
  </si>
  <si>
    <t>EXPLAINABLE</t>
  </si>
  <si>
    <t>Remaining Useful Life (RUL)</t>
  </si>
  <si>
    <t>68.4 hours to MC limit</t>
  </si>
  <si>
    <t>NOMINAL HORIZON</t>
  </si>
  <si>
    <t>UNIT 77 MBR SUPER EXPERT — 16_DATA_QUALITY</t>
  </si>
  <si>
    <t>Instrumentation Signal Health, Flatline &amp; Hampel Filter Statistics | Author: Turgunjon Ruziboyev | Physics + AI Decision Support</t>
  </si>
  <si>
    <t>SENSOR TAG / LOCATION</t>
  </si>
  <si>
    <t>GOOD SAMPLES</t>
  </si>
  <si>
    <t>OUTLIERS</t>
  </si>
  <si>
    <t>FLATLINE SAMPLES</t>
  </si>
  <si>
    <t>QUALITY %</t>
  </si>
  <si>
    <t>HEALTH VERDICT</t>
  </si>
  <si>
    <t>FIT-7701 Influent Flow</t>
  </si>
  <si>
    <t>99.86%</t>
  </si>
  <si>
    <t>PT-771A Train A Suction</t>
  </si>
  <si>
    <t>100.00%</t>
  </si>
  <si>
    <t>PT-771B Train B Suction</t>
  </si>
  <si>
    <t>99.93%</t>
  </si>
  <si>
    <t>PT-771C Train C Suction</t>
  </si>
  <si>
    <t>99.44%</t>
  </si>
  <si>
    <t>ACCEPTABLE (Slight Noise)</t>
  </si>
  <si>
    <t>PT-771D Train D Suction</t>
  </si>
  <si>
    <t>LT-771x Membrane Level</t>
  </si>
  <si>
    <t>AIT-7730 Biological MLSS</t>
  </si>
  <si>
    <t>99.72%</t>
  </si>
  <si>
    <t>UNIT 77 MBR SUPER EXPERT — 17_SETTINGS</t>
  </si>
  <si>
    <t>Decoupled Membrane Geometries, Constants &amp; Kinetic Parameters | Author: Turgunjon Ruziboyev | Physics + AI Decision Support</t>
  </si>
  <si>
    <t>SETTINGS CONSTANT</t>
  </si>
  <si>
    <t>ENGINEERING BASIS</t>
  </si>
  <si>
    <t>Membrane Module Surface Area</t>
  </si>
  <si>
    <t>PVDF Hollow Fiber Module Specs</t>
  </si>
  <si>
    <t>Modules per Cassette</t>
  </si>
  <si>
    <t>modules</t>
  </si>
  <si>
    <t>Cassette Frame Structural Geometry</t>
  </si>
  <si>
    <t>Cassettes per Train</t>
  </si>
  <si>
    <t>cassettes</t>
  </si>
  <si>
    <t>Membrane Tank Layout</t>
  </si>
  <si>
    <t>Active Trains Count</t>
  </si>
  <si>
    <t>Unit 77 Operational Train Count</t>
  </si>
  <si>
    <t>Standard Temperature Ref T_ref</t>
  </si>
  <si>
    <t>Standard Water Industry Baseline</t>
  </si>
  <si>
    <t>Viscosity Temperature Factor theta</t>
  </si>
  <si>
    <t>Arrhenius / Empirical Viscosity Law</t>
  </si>
  <si>
    <t>Water Density rho</t>
  </si>
  <si>
    <t>kg/m3</t>
  </si>
  <si>
    <t>Standard Liquid Water Density</t>
  </si>
  <si>
    <t>Clean Membrane Resistance Rm</t>
  </si>
  <si>
    <t>Virgin Factory Module Resistance</t>
  </si>
  <si>
    <t>Maximum Permissible TMP</t>
  </si>
  <si>
    <t>Manufacturer Fiber Collapse Threshold</t>
  </si>
  <si>
    <t>Design Operating Flux</t>
  </si>
  <si>
    <t>Nominal Sustained Production Flux</t>
  </si>
  <si>
    <t>Target Solids Retention Time (SRT)</t>
  </si>
  <si>
    <t>Biological Nitrification Target</t>
  </si>
  <si>
    <t>Biological Yield Y_obs</t>
  </si>
  <si>
    <t>kg/kg</t>
  </si>
  <si>
    <t>Observed Biomass Synthesis Yield</t>
  </si>
  <si>
    <t>Biomass Decay Rate K_d</t>
  </si>
  <si>
    <t>1/d</t>
  </si>
  <si>
    <t>Endogenous Respiration Constant</t>
  </si>
  <si>
    <t>UNIT 77 MBR SUPER EXPERT — 18_ENGINEERING_REFERENCE</t>
  </si>
  <si>
    <t>Physical Equations, Symbol Nomenclature &amp; Literature Citations | Author: Turgunjon Ruziboyev | Physics + AI Decision Support</t>
  </si>
  <si>
    <t>CONCEPT</t>
  </si>
  <si>
    <t>EQUATION / RELATION</t>
  </si>
  <si>
    <t>DIMENSIONS &amp; UNITS</t>
  </si>
  <si>
    <t>LITERATURE CITATION</t>
  </si>
  <si>
    <t>Darcy Law Filtration</t>
  </si>
  <si>
    <t>J = TMP / (mu * R_tot)</t>
  </si>
  <si>
    <t>J in m/s, TMP in Pa, mu in Pa.s</t>
  </si>
  <si>
    <t>Darcy (1856); Judd (2011)</t>
  </si>
  <si>
    <t>Temperature Normalized Permeability</t>
  </si>
  <si>
    <t>Lp_20 = Lp * theta^(20 - T)</t>
  </si>
  <si>
    <t>Lp in LMH/bar, T in °C, theta=1.025</t>
  </si>
  <si>
    <t>Water Environment Federation (2012)</t>
  </si>
  <si>
    <t>Water Viscosity Poiseuille</t>
  </si>
  <si>
    <t>mu(T) = 1.784 / (1 + 0.0337*T + 0.00022*T^2)</t>
  </si>
  <si>
    <t>mu in mPa.s, T in °C</t>
  </si>
  <si>
    <t>CRC Handbook of Chemistry &amp; Physics</t>
  </si>
  <si>
    <t>Mean Cell Residence Time (SRT)</t>
  </si>
  <si>
    <t>SRT = (V_tank * MLSS) / (Q_was * MLSS_was)</t>
  </si>
  <si>
    <t>SRT in days, V in m3, Q in m3/d</t>
  </si>
  <si>
    <t>Metcalf &amp; Eddy (5th Edition, 2014)</t>
  </si>
  <si>
    <t>Specific Aeration Demand (SADm)</t>
  </si>
  <si>
    <t>SAD_m = Q_air / Membrane_Area</t>
  </si>
  <si>
    <t>SAD_m in Nm3/(m2.h)</t>
  </si>
  <si>
    <t>EPA MBR Engineering Manual (2010)</t>
  </si>
  <si>
    <t>UNIT 77 MBR SUPER EXPERT — 19_AUDIT_LOG</t>
  </si>
  <si>
    <t>Version History, Verification Milestones &amp; Engineering Sign-Offs | Author: Turgunjon Ruziboyev | Physics + AI Decision Support</t>
  </si>
  <si>
    <t>VERSION</t>
  </si>
  <si>
    <t>ACTION / EVENT</t>
  </si>
  <si>
    <t>ENGINEERING DETAILS</t>
  </si>
  <si>
    <t>VERIFIED BY</t>
  </si>
  <si>
    <t>2026-09-18 13:48</t>
  </si>
  <si>
    <t>v0.1.0</t>
  </si>
  <si>
    <t>Stage 1 Sign-Off</t>
  </si>
  <si>
    <t>Engineering Foundation &amp; Data Model 8/8 Gate Pass</t>
  </si>
  <si>
    <t>Turgunjon Ruziboyev</t>
  </si>
  <si>
    <t>2026-09-18 13:52</t>
  </si>
  <si>
    <t>v0.2.0</t>
  </si>
  <si>
    <t>Stage 2 Workbook Build</t>
  </si>
  <si>
    <t>19 Worksheets generated with structured formulas and no broken links</t>
  </si>
  <si>
    <t>2026-09-18 13:53</t>
  </si>
  <si>
    <t>Stage 2 Verification</t>
  </si>
  <si>
    <t>Formula reference audit, frozen headers check, and input separation check</t>
  </si>
  <si>
    <t>Automated Test Suite</t>
  </si>
  <si>
    <t>2026-09-18 13:56</t>
  </si>
  <si>
    <t>v0.3.0</t>
  </si>
  <si>
    <t>Stage 3 Core Calcs</t>
  </si>
  <si>
    <t>Hydraulic, Poiseuille, Darcy &amp; Biological SRT 12/12 Gate Pass (&lt;0.01% err)</t>
  </si>
  <si>
    <t>2026-09-18 14:02</t>
  </si>
  <si>
    <t>v0.4.0</t>
  </si>
  <si>
    <t>Stage 4 Alarm Engine</t>
  </si>
  <si>
    <t>Hysteresis deadbands, persistence, ROC, Multi-Risk Index &amp; peer Z-scores</t>
  </si>
  <si>
    <t>2026-09-18 14:08</t>
  </si>
  <si>
    <t>v0.5.0</t>
  </si>
  <si>
    <t>Stage 5 Dashboard &amp; What-If</t>
  </si>
  <si>
    <t>Dynamic Outage Redistribution, Viscosity Compensation &amp; WAS/SRT Sensitivity Engine</t>
  </si>
  <si>
    <t>2026-09-18 14:14</t>
  </si>
  <si>
    <t>v0.6.0</t>
  </si>
  <si>
    <t>Stage 6 Core Prediction &amp; Tuning</t>
  </si>
  <si>
    <t>Multi-Horizon Forecasts, RUL Matrix, Darcy Rm Calibration &amp; Automated Action Scheduling</t>
  </si>
  <si>
    <t>2026-09-18 14:20</t>
  </si>
  <si>
    <t>v0.7.0</t>
  </si>
  <si>
    <t>Stage 7 Python Foundation</t>
  </si>
  <si>
    <t>Modular pure-Python package with Darcy physics, biological mass balance &amp; 100% parity</t>
  </si>
  <si>
    <t>2026-09-19 09:10</t>
  </si>
  <si>
    <t>v0.8.0</t>
  </si>
  <si>
    <t>Stage 8 Advanced Analytics</t>
  </si>
  <si>
    <t>Theil-Sen robust slopes, Hampel filter, PCA Hotelling T2, Isolation Forest &amp; SHAP attributions</t>
  </si>
  <si>
    <t>2026-09-19 09:20</t>
  </si>
  <si>
    <t>v0.9.0</t>
  </si>
  <si>
    <t>Stage 9 Hybrid Bridge</t>
  </si>
  <si>
    <t>Two-Way Parity Verification (&lt;0.05% diff), Heartbeat telemetry &amp; Graceful Fallback State Machine</t>
  </si>
  <si>
    <t>2026-09-19 09:30</t>
  </si>
  <si>
    <t>v1.0.0</t>
  </si>
  <si>
    <t>Stage 10 Full Super Expert</t>
  </si>
  <si>
    <t>Multi-Domain Reasoning Chain, Physics Hypotheses, Prescriptive Operator Actions &amp; Excel VBA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</si>
</sst>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i/>
      <color rgb="FF475569"/>
      <sz val="10"/>
      <name val="Segoe UI"/>
    </font>
    <font>
      <b/>
      <color rgb="FFFFFFFF"/>
      <sz val="11"/>
      <name val="Segoe UI"/>
    </font>
    <font>
      <b/>
      <color rgb="FF0F172A"/>
      <sz val="10"/>
      <name val="Segoe UI"/>
    </font>
    <font>
      <color rgb="FF1E293B"/>
      <sz val="10"/>
      <name val="Segoe UI"/>
    </font>
    <font>
      <b/>
      <color rgb="FF1D4ED8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2744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EBF5FF"/>
      </patternFill>
    </fill>
    <fill>
      <patternFill patternType="solid">
        <fgColor rgb="FF1E3A8A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2744"/>
      </top>
      <bottom style="medium">
        <color rgb="FF0F274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5" fillId="0" borderId="0" xfId="0" applyFont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4" borderId="2" xfId="0" applyFill="1" applyBorder="1"/>
    <xf numFmtId="0" fontId="3" fillId="2" borderId="1" xfId="0" applyFont="1" applyFill="1" applyBorder="1"/>
    <xf numFmtId="0" fontId="6" fillId="5" borderId="3" xfId="0" applyFont="1" applyFill="1" applyBorder="1"/>
    <xf numFmtId="0" fontId="5" fillId="3" borderId="2" xfId="0" applyFont="1" applyFill="1" applyBorder="1" applyAlignment="1">
      <alignment horizontal="right"/>
    </xf>
    <xf numFmtId="0" fontId="3" fillId="6" borderId="1" xfId="0" applyFont="1" applyFill="1" applyBorder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8" customWidth="1"/>
    <col min="6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spans="1:7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s="5" customFormat="1" x14ac:dyDescent="0.25">
      <c r="A5" s="6" t="s">
        <v>9</v>
      </c>
      <c r="B5" s="7" t="s">
        <v>10</v>
      </c>
      <c r="C5" s="7" t="s">
        <v>11</v>
      </c>
      <c r="D5" s="7" t="s">
        <v>11</v>
      </c>
      <c r="E5" s="7" t="s">
        <v>11</v>
      </c>
      <c r="F5" s="7" t="s">
        <v>11</v>
      </c>
      <c r="G5" s="6" t="s">
        <v>12</v>
      </c>
    </row>
    <row r="6" spans="1:7" s="8" customFormat="1" x14ac:dyDescent="0.25">
      <c r="A6" s="6" t="s">
        <v>13</v>
      </c>
      <c r="B6" s="9">
        <f>AVERAGE(C6:F6)</f>
      </c>
      <c r="C6" s="9">
        <f>'04_Train_Analysis'!C7</f>
      </c>
      <c r="D6" s="9">
        <f>'04_Train_Analysis'!D7</f>
      </c>
      <c r="E6" s="9">
        <f>'04_Train_Analysis'!E7</f>
      </c>
      <c r="F6" s="9">
        <f>'04_Train_Analysis'!F7</f>
      </c>
      <c r="G6" s="10" t="s">
        <v>14</v>
      </c>
    </row>
    <row r="7" spans="1:7" s="8" customFormat="1" x14ac:dyDescent="0.25">
      <c r="A7" s="6" t="s">
        <v>15</v>
      </c>
      <c r="B7" s="9">
        <f>AVERAGE(C7:F7)</f>
      </c>
      <c r="C7" s="9">
        <f>'04_Train_Analysis'!C8</f>
      </c>
      <c r="D7" s="9">
        <f>'04_Train_Analysis'!D8</f>
      </c>
      <c r="E7" s="9">
        <f>'04_Train_Analysis'!E8</f>
      </c>
      <c r="F7" s="9">
        <f>'04_Train_Analysis'!F8</f>
      </c>
      <c r="G7" s="10" t="s">
        <v>16</v>
      </c>
    </row>
    <row r="8" spans="1:7" s="8" customFormat="1" x14ac:dyDescent="0.25">
      <c r="A8" s="6" t="s">
        <v>17</v>
      </c>
      <c r="B8" s="9">
        <f>AVERAGE(C8:F8)</f>
      </c>
      <c r="C8" s="9">
        <f>'04_Train_Analysis'!C9</f>
      </c>
      <c r="D8" s="9">
        <f>'04_Train_Analysis'!D9</f>
      </c>
      <c r="E8" s="9">
        <f>'04_Train_Analysis'!E9</f>
      </c>
      <c r="F8" s="9">
        <f>'04_Train_Analysis'!F9</f>
      </c>
      <c r="G8" s="10" t="s">
        <v>18</v>
      </c>
    </row>
    <row r="9" spans="1:7" s="8" customFormat="1" x14ac:dyDescent="0.25">
      <c r="A9" s="6" t="s">
        <v>19</v>
      </c>
      <c r="B9" s="9">
        <f>MAX(C9:F9)</f>
      </c>
      <c r="C9" s="9">
        <f>'04_Train_Analysis'!C10</f>
      </c>
      <c r="D9" s="9">
        <f>'04_Train_Analysis'!D10</f>
      </c>
      <c r="E9" s="9">
        <f>'04_Train_Analysis'!E10</f>
      </c>
      <c r="F9" s="9">
        <f>'04_Train_Analysis'!F10</f>
      </c>
      <c r="G9" s="10" t="s">
        <v>20</v>
      </c>
    </row>
    <row r="10" spans="1:7" s="8" customFormat="1" x14ac:dyDescent="0.25">
      <c r="A10" s="6" t="s">
        <v>21</v>
      </c>
      <c r="B10" s="9">
        <f>AVERAGE(C10:F10)</f>
      </c>
      <c r="C10" s="9">
        <f>'04_Train_Analysis'!C11</f>
      </c>
      <c r="D10" s="9">
        <f>'04_Train_Analysis'!D11</f>
      </c>
      <c r="E10" s="9">
        <f>'04_Train_Analysis'!E11</f>
      </c>
      <c r="F10" s="9">
        <f>'04_Train_Analysis'!F11</f>
      </c>
      <c r="G10" s="10" t="s">
        <v>22</v>
      </c>
    </row>
    <row r="11" spans="1:7" s="8" customFormat="1" x14ac:dyDescent="0.25">
      <c r="A11" s="6" t="s">
        <v>23</v>
      </c>
      <c r="B11" s="9">
        <f>SUM(C11:F11)</f>
      </c>
      <c r="C11" s="9">
        <f>'04_Train_Analysis'!C12</f>
      </c>
      <c r="D11" s="9">
        <f>'04_Train_Analysis'!D12</f>
      </c>
      <c r="E11" s="9">
        <f>'04_Train_Analysis'!E12</f>
      </c>
      <c r="F11" s="9">
        <f>'04_Train_Analysis'!F12</f>
      </c>
      <c r="G11" s="10" t="s">
        <v>24</v>
      </c>
    </row>
    <row r="12" spans="1:7" s="8" customFormat="1" x14ac:dyDescent="0.25">
      <c r="A12" s="6" t="s">
        <v>25</v>
      </c>
      <c r="B12" s="9">
        <f>MAX(C12:F12)</f>
      </c>
      <c r="C12" s="9">
        <f>'04_Train_Analysis'!C13</f>
      </c>
      <c r="D12" s="9">
        <f>'04_Train_Analysis'!D13</f>
      </c>
      <c r="E12" s="9">
        <f>'04_Train_Analysis'!E13</f>
      </c>
      <c r="F12" s="9">
        <f>'04_Train_Analysis'!F13</f>
      </c>
      <c r="G12" s="10" t="s">
        <v>26</v>
      </c>
    </row>
    <row r="13" spans="1:7" s="8" customFormat="1" x14ac:dyDescent="0.25">
      <c r="A13" s="6" t="s">
        <v>27</v>
      </c>
      <c r="B13" s="9">
        <f>MAX(C13:F13)</f>
      </c>
      <c r="C13" s="9">
        <f>'04_Train_Analysis'!C14</f>
      </c>
      <c r="D13" s="9">
        <f>'04_Train_Analysis'!D14</f>
      </c>
      <c r="E13" s="9">
        <f>'04_Train_Analysis'!E14</f>
      </c>
      <c r="F13" s="9">
        <f>'04_Train_Analysis'!F14</f>
      </c>
      <c r="G13" s="10" t="s">
        <v>28</v>
      </c>
    </row>
    <row r="14" spans="1:7" s="8" customFormat="1" x14ac:dyDescent="0.25">
      <c r="A14" s="6" t="s">
        <v>29</v>
      </c>
      <c r="B14" s="9">
        <f>MIN(C14:F14)</f>
      </c>
      <c r="C14" s="9">
        <f>'04_Train_Analysis'!C15</f>
      </c>
      <c r="D14" s="9">
        <f>'04_Train_Analysis'!D15</f>
      </c>
      <c r="E14" s="9">
        <f>'04_Train_Analysis'!E15</f>
      </c>
      <c r="F14" s="9">
        <f>'04_Train_Analysis'!F15</f>
      </c>
      <c r="G14" s="10" t="s">
        <v>30</v>
      </c>
    </row>
    <row r="17" spans="1:2" x14ac:dyDescent="0.25">
      <c r="A17" s="5" t="s">
        <v>31</v>
      </c>
      <c r="B17" s="5"/>
    </row>
    <row r="18" spans="1:7" x14ac:dyDescent="0.25">
      <c r="A18" s="11" t="s">
        <v>32</v>
      </c>
      <c r="B18" s="11">
        <f>'07_Biology'!B5</f>
      </c>
      <c r="C18" s="11" t="s">
        <v>33</v>
      </c>
      <c r="D18" s="11">
        <f>'08_WAS_SRT'!B9</f>
      </c>
      <c r="E18" s="11" t="s">
        <v>34</v>
      </c>
      <c r="F18" s="11">
        <f>'11_Events_Alarms'!B4</f>
      </c>
      <c r="G18" s="11" t="s">
        <v>35</v>
      </c>
    </row>
    <row r="19" spans="1:7" x14ac:dyDescent="0.25">
      <c r="A19" s="11" t="s">
        <v>36</v>
      </c>
      <c r="B19" s="11">
        <f>'07_Biology'!B6</f>
      </c>
      <c r="C19" s="11" t="s">
        <v>37</v>
      </c>
      <c r="D19" s="11">
        <f>'08_WAS_SRT'!B6</f>
      </c>
      <c r="E19" s="11" t="s">
        <v>38</v>
      </c>
      <c r="F19" s="11">
        <f>'16_Data_Quality'!B5</f>
      </c>
      <c r="G19" s="11" t="s">
        <v>39</v>
      </c>
    </row>
    <row r="20" spans="1:7" x14ac:dyDescent="0.25">
      <c r="A20" s="11" t="s">
        <v>40</v>
      </c>
      <c r="B20" s="11">
        <f>'07_Biology'!B8</f>
      </c>
      <c r="C20" s="11" t="s">
        <v>41</v>
      </c>
      <c r="D20" s="11">
        <f>'02_Manual_Input'!B7</f>
      </c>
      <c r="E20" s="11" t="s">
        <v>42</v>
      </c>
      <c r="F20" s="11" t="s">
        <v>43</v>
      </c>
      <c r="G20" s="11" t="s">
        <v>44</v>
      </c>
    </row>
  </sheetData>
  <mergeCells count="3">
    <mergeCell ref="A1:G1"/>
    <mergeCell ref="A2:G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2" customWidth="1"/>
    <col min="4" max="4" width="35" customWidth="1"/>
    <col min="5" max="5" width="20" customWidth="1"/>
  </cols>
  <sheetData>
    <row r="1" ht="28" customHeight="1" spans="1:7" x14ac:dyDescent="0.25">
      <c r="A1" s="1" t="s">
        <v>45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46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51</v>
      </c>
    </row>
    <row r="5" spans="1:5" x14ac:dyDescent="0.25">
      <c r="A5" s="6" t="s">
        <v>52</v>
      </c>
      <c r="B5" s="13">
        <v>650</v>
      </c>
      <c r="C5" s="10" t="s">
        <v>53</v>
      </c>
      <c r="D5" s="10" t="s">
        <v>54</v>
      </c>
      <c r="E5" s="10" t="s">
        <v>55</v>
      </c>
    </row>
    <row r="6" spans="1:5" x14ac:dyDescent="0.25">
      <c r="A6" s="6" t="s">
        <v>56</v>
      </c>
      <c r="B6" s="13">
        <v>18.5</v>
      </c>
      <c r="C6" s="10" t="s">
        <v>57</v>
      </c>
      <c r="D6" s="10" t="s">
        <v>58</v>
      </c>
      <c r="E6" s="10" t="s">
        <v>55</v>
      </c>
    </row>
    <row r="7" spans="1:5" x14ac:dyDescent="0.25">
      <c r="A7" s="6" t="s">
        <v>59</v>
      </c>
      <c r="B7" s="13">
        <v>7400</v>
      </c>
      <c r="C7" s="10" t="s">
        <v>60</v>
      </c>
      <c r="D7" s="10" t="s">
        <v>61</v>
      </c>
      <c r="E7" s="10" t="s">
        <v>62</v>
      </c>
    </row>
    <row r="8" spans="1:5" x14ac:dyDescent="0.25">
      <c r="A8" s="6" t="s">
        <v>63</v>
      </c>
      <c r="B8" s="13">
        <v>9200</v>
      </c>
      <c r="C8" s="10" t="s">
        <v>60</v>
      </c>
      <c r="D8" s="10" t="s">
        <v>61</v>
      </c>
      <c r="E8" s="10" t="s">
        <v>62</v>
      </c>
    </row>
    <row r="9" spans="1:5" x14ac:dyDescent="0.25">
      <c r="A9" s="6" t="s">
        <v>64</v>
      </c>
      <c r="B9" s="13">
        <v>6600</v>
      </c>
      <c r="C9" s="10" t="s">
        <v>60</v>
      </c>
      <c r="D9" s="10" t="s">
        <v>65</v>
      </c>
      <c r="E9" s="10" t="s">
        <v>62</v>
      </c>
    </row>
    <row r="10" spans="1:5" x14ac:dyDescent="0.25">
      <c r="A10" s="6" t="s">
        <v>66</v>
      </c>
      <c r="B10" s="13">
        <v>420</v>
      </c>
      <c r="C10" s="10" t="s">
        <v>60</v>
      </c>
      <c r="D10" s="10" t="s">
        <v>67</v>
      </c>
      <c r="E10" s="10" t="s">
        <v>62</v>
      </c>
    </row>
    <row r="11" spans="1:5" x14ac:dyDescent="0.25">
      <c r="A11" s="6" t="s">
        <v>68</v>
      </c>
      <c r="B11" s="13">
        <v>18.5</v>
      </c>
      <c r="C11" s="10" t="s">
        <v>60</v>
      </c>
      <c r="D11" s="10" t="s">
        <v>69</v>
      </c>
      <c r="E11" s="10" t="s">
        <v>62</v>
      </c>
    </row>
    <row r="12" spans="1:5" x14ac:dyDescent="0.25">
      <c r="A12" s="6" t="s">
        <v>70</v>
      </c>
      <c r="B12" s="13">
        <v>38</v>
      </c>
      <c r="C12" s="10" t="s">
        <v>71</v>
      </c>
      <c r="D12" s="10" t="s">
        <v>72</v>
      </c>
      <c r="E12" s="10" t="s">
        <v>73</v>
      </c>
    </row>
    <row r="13" spans="1:5" x14ac:dyDescent="0.25">
      <c r="A13" s="6" t="s">
        <v>74</v>
      </c>
      <c r="B13" s="13">
        <v>2.2</v>
      </c>
      <c r="C13" s="10" t="s">
        <v>60</v>
      </c>
      <c r="D13" s="10" t="s">
        <v>75</v>
      </c>
      <c r="E13" s="10" t="s">
        <v>76</v>
      </c>
    </row>
    <row r="14" spans="1:5" x14ac:dyDescent="0.25">
      <c r="A14" s="6" t="s">
        <v>77</v>
      </c>
      <c r="B14" s="13">
        <v>-18.5</v>
      </c>
      <c r="C14" s="10" t="s">
        <v>78</v>
      </c>
      <c r="D14" s="10" t="s">
        <v>79</v>
      </c>
      <c r="E14" s="10" t="s">
        <v>55</v>
      </c>
    </row>
    <row r="15" spans="1:5" x14ac:dyDescent="0.25">
      <c r="A15" s="6" t="s">
        <v>80</v>
      </c>
      <c r="B15" s="13">
        <v>-19.2</v>
      </c>
      <c r="C15" s="10" t="s">
        <v>78</v>
      </c>
      <c r="D15" s="10" t="s">
        <v>81</v>
      </c>
      <c r="E15" s="10" t="s">
        <v>55</v>
      </c>
    </row>
    <row r="16" spans="1:5" x14ac:dyDescent="0.25">
      <c r="A16" s="6" t="s">
        <v>82</v>
      </c>
      <c r="B16" s="13">
        <v>-21</v>
      </c>
      <c r="C16" s="10" t="s">
        <v>78</v>
      </c>
      <c r="D16" s="10" t="s">
        <v>83</v>
      </c>
      <c r="E16" s="10" t="s">
        <v>55</v>
      </c>
    </row>
    <row r="17" spans="1:5" x14ac:dyDescent="0.25">
      <c r="A17" s="6" t="s">
        <v>84</v>
      </c>
      <c r="B17" s="13">
        <v>-20.4</v>
      </c>
      <c r="C17" s="10" t="s">
        <v>78</v>
      </c>
      <c r="D17" s="10" t="s">
        <v>85</v>
      </c>
      <c r="E17" s="10" t="s">
        <v>55</v>
      </c>
    </row>
    <row r="18" spans="1:5" x14ac:dyDescent="0.25">
      <c r="A18" s="6" t="s">
        <v>86</v>
      </c>
      <c r="B18" s="13">
        <v>115.2</v>
      </c>
      <c r="C18" s="10" t="s">
        <v>53</v>
      </c>
      <c r="D18" s="10" t="s">
        <v>87</v>
      </c>
      <c r="E18" s="10" t="s">
        <v>55</v>
      </c>
    </row>
    <row r="19" spans="1:5" x14ac:dyDescent="0.25">
      <c r="A19" s="6" t="s">
        <v>88</v>
      </c>
      <c r="B19" s="13">
        <v>115.2</v>
      </c>
      <c r="C19" s="10" t="s">
        <v>53</v>
      </c>
      <c r="D19" s="10" t="s">
        <v>89</v>
      </c>
      <c r="E19" s="10" t="s">
        <v>55</v>
      </c>
    </row>
    <row r="20" spans="1:5" x14ac:dyDescent="0.25">
      <c r="A20" s="6" t="s">
        <v>90</v>
      </c>
      <c r="B20" s="13">
        <v>115.2</v>
      </c>
      <c r="C20" s="10" t="s">
        <v>53</v>
      </c>
      <c r="D20" s="10" t="s">
        <v>91</v>
      </c>
      <c r="E20" s="10" t="s">
        <v>55</v>
      </c>
    </row>
    <row r="21" spans="1:5" x14ac:dyDescent="0.25">
      <c r="A21" s="6" t="s">
        <v>92</v>
      </c>
      <c r="B21" s="13">
        <v>115.2</v>
      </c>
      <c r="C21" s="10" t="s">
        <v>53</v>
      </c>
      <c r="D21" s="10" t="s">
        <v>93</v>
      </c>
      <c r="E21" s="10" t="s">
        <v>55</v>
      </c>
    </row>
    <row r="22" spans="1:5" x14ac:dyDescent="0.25">
      <c r="A22" s="6" t="s">
        <v>94</v>
      </c>
      <c r="B22" s="13">
        <v>3.2</v>
      </c>
      <c r="C22" s="10" t="s">
        <v>95</v>
      </c>
      <c r="D22" s="10" t="s">
        <v>96</v>
      </c>
      <c r="E22" s="10" t="s">
        <v>55</v>
      </c>
    </row>
    <row r="23" spans="1:5" x14ac:dyDescent="0.25">
      <c r="A23" s="6" t="s">
        <v>97</v>
      </c>
      <c r="B23" s="13">
        <v>1344</v>
      </c>
      <c r="C23" s="10" t="s">
        <v>98</v>
      </c>
      <c r="D23" s="10" t="s">
        <v>99</v>
      </c>
      <c r="E23" s="10" t="s">
        <v>55</v>
      </c>
    </row>
    <row r="24" spans="1:5" x14ac:dyDescent="0.25">
      <c r="A24" s="6" t="s">
        <v>100</v>
      </c>
      <c r="B24" s="13">
        <v>1344</v>
      </c>
      <c r="C24" s="10" t="s">
        <v>98</v>
      </c>
      <c r="D24" s="10" t="s">
        <v>101</v>
      </c>
      <c r="E24" s="10" t="s">
        <v>55</v>
      </c>
    </row>
    <row r="25" spans="1:5" x14ac:dyDescent="0.25">
      <c r="A25" s="6" t="s">
        <v>102</v>
      </c>
      <c r="B25" s="13">
        <v>1344</v>
      </c>
      <c r="C25" s="10" t="s">
        <v>98</v>
      </c>
      <c r="D25" s="10" t="s">
        <v>103</v>
      </c>
      <c r="E25" s="10" t="s">
        <v>55</v>
      </c>
    </row>
    <row r="26" spans="1:5" x14ac:dyDescent="0.25">
      <c r="A26" s="6" t="s">
        <v>104</v>
      </c>
      <c r="B26" s="13">
        <v>1344</v>
      </c>
      <c r="C26" s="10" t="s">
        <v>98</v>
      </c>
      <c r="D26" s="10" t="s">
        <v>105</v>
      </c>
      <c r="E26" s="10" t="s">
        <v>55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8" width="14" customWidth="1"/>
    <col min="9" max="9" width="12" customWidth="1"/>
  </cols>
  <sheetData>
    <row r="1" ht="28" customHeight="1" spans="1:7" x14ac:dyDescent="0.25">
      <c r="A1" s="1" t="s">
        <v>106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107</v>
      </c>
      <c r="B2" s="2"/>
      <c r="C2" s="2"/>
      <c r="D2" s="2"/>
      <c r="E2" s="2"/>
      <c r="F2" s="2"/>
      <c r="G2" s="2"/>
    </row>
    <row r="3" ht="10" customHeight="1" x14ac:dyDescent="0.25"/>
    <row r="4" spans="1:9" s="3" customFormat="1" x14ac:dyDescent="0.25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</row>
    <row r="5" spans="1:9" x14ac:dyDescent="0.25">
      <c r="A5" s="10" t="s">
        <v>117</v>
      </c>
      <c r="B5" s="10" t="s">
        <v>118</v>
      </c>
      <c r="C5" s="10">
        <v>115.2</v>
      </c>
      <c r="D5" s="10">
        <v>-19</v>
      </c>
      <c r="E5" s="10">
        <f>(3.2*9.81)-D5</f>
      </c>
      <c r="F5" s="10">
        <f>(C5*1000)/4800</f>
      </c>
      <c r="G5" s="10">
        <f>F5/(E5/100)*1.025^(20-18.5)</f>
      </c>
      <c r="H5" s="10">
        <v>1344</v>
      </c>
      <c r="I5" s="10" t="s">
        <v>119</v>
      </c>
    </row>
    <row r="6" spans="1:9" x14ac:dyDescent="0.25">
      <c r="A6" s="10" t="s">
        <v>120</v>
      </c>
      <c r="B6" s="10" t="s">
        <v>121</v>
      </c>
      <c r="C6" s="10">
        <v>115.2</v>
      </c>
      <c r="D6" s="10">
        <v>-19.3</v>
      </c>
      <c r="E6" s="10">
        <f>(3.2*9.81)-D6</f>
      </c>
      <c r="F6" s="10">
        <f>(C6*1000)/4800</f>
      </c>
      <c r="G6" s="10">
        <f>F6/(E6/100)*1.025^(20-18.5)</f>
      </c>
      <c r="H6" s="10">
        <v>1344</v>
      </c>
      <c r="I6" s="10" t="s">
        <v>119</v>
      </c>
    </row>
    <row r="7" spans="1:9" x14ac:dyDescent="0.25">
      <c r="A7" s="10" t="s">
        <v>122</v>
      </c>
      <c r="B7" s="10" t="s">
        <v>123</v>
      </c>
      <c r="C7" s="10">
        <v>115.2</v>
      </c>
      <c r="D7" s="10">
        <v>-19.6</v>
      </c>
      <c r="E7" s="10">
        <f>(3.2*9.81)-D7</f>
      </c>
      <c r="F7" s="10">
        <f>(C7*1000)/4800</f>
      </c>
      <c r="G7" s="10">
        <f>F7/(E7/100)*1.025^(20-18.5)</f>
      </c>
      <c r="H7" s="10">
        <v>1344</v>
      </c>
      <c r="I7" s="10" t="s">
        <v>119</v>
      </c>
    </row>
    <row r="8" spans="1:9" x14ac:dyDescent="0.25">
      <c r="A8" s="10" t="s">
        <v>124</v>
      </c>
      <c r="B8" s="10" t="s">
        <v>125</v>
      </c>
      <c r="C8" s="10">
        <v>115.2</v>
      </c>
      <c r="D8" s="10">
        <v>-19.9</v>
      </c>
      <c r="E8" s="10">
        <f>(3.2*9.81)-D8</f>
      </c>
      <c r="F8" s="10">
        <f>(C8*1000)/4800</f>
      </c>
      <c r="G8" s="10">
        <f>F8/(E8/100)*1.025^(20-18.5)</f>
      </c>
      <c r="H8" s="10">
        <v>1344</v>
      </c>
      <c r="I8" s="10" t="s">
        <v>119</v>
      </c>
    </row>
    <row r="9" spans="1:9" x14ac:dyDescent="0.25">
      <c r="A9" s="10" t="s">
        <v>126</v>
      </c>
      <c r="B9" s="10" t="s">
        <v>118</v>
      </c>
      <c r="C9" s="10">
        <v>115.2</v>
      </c>
      <c r="D9" s="10">
        <v>-20.2</v>
      </c>
      <c r="E9" s="10">
        <f>(3.2*9.81)-D9</f>
      </c>
      <c r="F9" s="10">
        <f>(C9*1000)/4800</f>
      </c>
      <c r="G9" s="10">
        <f>F9/(E9/100)*1.025^(20-18.5)</f>
      </c>
      <c r="H9" s="10">
        <v>1344</v>
      </c>
      <c r="I9" s="10" t="s">
        <v>119</v>
      </c>
    </row>
    <row r="10" spans="1:9" x14ac:dyDescent="0.25">
      <c r="A10" s="10" t="s">
        <v>127</v>
      </c>
      <c r="B10" s="10" t="s">
        <v>121</v>
      </c>
      <c r="C10" s="10">
        <v>115.2</v>
      </c>
      <c r="D10" s="10">
        <v>-20.5</v>
      </c>
      <c r="E10" s="10">
        <f>(3.2*9.81)-D10</f>
      </c>
      <c r="F10" s="10">
        <f>(C10*1000)/4800</f>
      </c>
      <c r="G10" s="10">
        <f>F10/(E10/100)*1.025^(20-18.5)</f>
      </c>
      <c r="H10" s="10">
        <v>1344</v>
      </c>
      <c r="I10" s="10" t="s">
        <v>119</v>
      </c>
    </row>
    <row r="11" spans="1:9" x14ac:dyDescent="0.25">
      <c r="A11" s="10" t="s">
        <v>128</v>
      </c>
      <c r="B11" s="10" t="s">
        <v>123</v>
      </c>
      <c r="C11" s="10">
        <v>115.2</v>
      </c>
      <c r="D11" s="10">
        <v>-20.8</v>
      </c>
      <c r="E11" s="10">
        <f>(3.2*9.81)-D11</f>
      </c>
      <c r="F11" s="10">
        <f>(C11*1000)/4800</f>
      </c>
      <c r="G11" s="10">
        <f>F11/(E11/100)*1.025^(20-18.5)</f>
      </c>
      <c r="H11" s="10">
        <v>1344</v>
      </c>
      <c r="I11" s="10" t="s">
        <v>119</v>
      </c>
    </row>
    <row r="12" spans="1:9" x14ac:dyDescent="0.25">
      <c r="A12" s="10" t="s">
        <v>129</v>
      </c>
      <c r="B12" s="10" t="s">
        <v>125</v>
      </c>
      <c r="C12" s="10">
        <v>115.2</v>
      </c>
      <c r="D12" s="10">
        <v>-21.1</v>
      </c>
      <c r="E12" s="10">
        <f>(3.2*9.81)-D12</f>
      </c>
      <c r="F12" s="10">
        <f>(C12*1000)/4800</f>
      </c>
      <c r="G12" s="10">
        <f>F12/(E12/100)*1.025^(20-18.5)</f>
      </c>
      <c r="H12" s="10">
        <v>1344</v>
      </c>
      <c r="I12" s="10" t="s">
        <v>119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6" width="16" customWidth="1"/>
    <col min="7" max="7" width="22" customWidth="1"/>
  </cols>
  <sheetData>
    <row r="1" ht="28" customHeight="1" spans="1:7" x14ac:dyDescent="0.25">
      <c r="A1" s="1" t="s">
        <v>130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131</v>
      </c>
      <c r="B2" s="2"/>
      <c r="C2" s="2"/>
      <c r="D2" s="2"/>
      <c r="E2" s="2"/>
      <c r="F2" s="2"/>
      <c r="G2" s="2"/>
    </row>
    <row r="3" ht="10" customHeight="1" x14ac:dyDescent="0.25"/>
    <row r="4" spans="1:7" s="3" customFormat="1" x14ac:dyDescent="0.25">
      <c r="A4" s="4" t="s">
        <v>132</v>
      </c>
      <c r="B4" s="4" t="s">
        <v>49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133</v>
      </c>
    </row>
    <row r="5" spans="1:7" x14ac:dyDescent="0.25">
      <c r="A5" s="6" t="s">
        <v>134</v>
      </c>
      <c r="B5" s="10" t="s">
        <v>135</v>
      </c>
      <c r="C5" s="9">
        <v>4800</v>
      </c>
      <c r="D5" s="9">
        <v>4800</v>
      </c>
      <c r="E5" s="9">
        <v>4800</v>
      </c>
      <c r="F5" s="9">
        <v>4800</v>
      </c>
      <c r="G5" s="10" t="s">
        <v>136</v>
      </c>
    </row>
    <row r="6" spans="1:7" x14ac:dyDescent="0.25">
      <c r="A6" s="6" t="s">
        <v>137</v>
      </c>
      <c r="B6" s="10" t="s">
        <v>78</v>
      </c>
      <c r="C6" s="9">
        <f>'02_Manual_Input'!B14</f>
      </c>
      <c r="D6" s="9">
        <f>'02_Manual_Input'!B15</f>
      </c>
      <c r="E6" s="9">
        <f>'02_Manual_Input'!B16</f>
      </c>
      <c r="F6" s="9">
        <f>'02_Manual_Input'!B17</f>
      </c>
      <c r="G6" s="10" t="s">
        <v>138</v>
      </c>
    </row>
    <row r="7" spans="1:7" x14ac:dyDescent="0.25">
      <c r="A7" s="6" t="s">
        <v>139</v>
      </c>
      <c r="B7" s="10" t="s">
        <v>140</v>
      </c>
      <c r="C7" s="9">
        <f>('02_Manual_Input'!B18*1000)/C5</f>
      </c>
      <c r="D7" s="9">
        <f>('02_Manual_Input'!B19*1000)/D5</f>
      </c>
      <c r="E7" s="9">
        <f>('02_Manual_Input'!B20*1000)/E5</f>
      </c>
      <c r="F7" s="9">
        <f>('02_Manual_Input'!B21*1000)/F5</f>
      </c>
      <c r="G7" s="10" t="s">
        <v>141</v>
      </c>
    </row>
    <row r="8" spans="1:7" x14ac:dyDescent="0.25">
      <c r="A8" s="6" t="s">
        <v>142</v>
      </c>
      <c r="B8" s="10" t="s">
        <v>78</v>
      </c>
      <c r="C8" s="9">
        <f>('02_Manual_Input'!B22*9.81)-C6</f>
      </c>
      <c r="D8" s="9">
        <f>('02_Manual_Input'!B22*9.81)-D6</f>
      </c>
      <c r="E8" s="9">
        <f>('02_Manual_Input'!B22*9.81)-E6</f>
      </c>
      <c r="F8" s="9">
        <f>('02_Manual_Input'!B22*9.81)-F6</f>
      </c>
      <c r="G8" s="10" t="s">
        <v>143</v>
      </c>
    </row>
    <row r="9" spans="1:7" x14ac:dyDescent="0.25">
      <c r="A9" s="6" t="s">
        <v>144</v>
      </c>
      <c r="B9" s="10" t="s">
        <v>145</v>
      </c>
      <c r="C9" s="9">
        <f>C7/(C8/100)*1.025^(20-'02_Manual_Input'!B6)</f>
      </c>
      <c r="D9" s="9">
        <f>D7/(D8/100)*1.025^(20-'02_Manual_Input'!B6)</f>
      </c>
      <c r="E9" s="9">
        <f>E7/(E8/100)*1.025^(20-'02_Manual_Input'!B6)</f>
      </c>
      <c r="F9" s="9">
        <f>F7/(F8/100)*1.025^(20-'02_Manual_Input'!B6)</f>
      </c>
      <c r="G9" s="10" t="s">
        <v>146</v>
      </c>
    </row>
    <row r="10" spans="1:7" x14ac:dyDescent="0.25">
      <c r="A10" s="6" t="s">
        <v>147</v>
      </c>
      <c r="B10" s="10" t="s">
        <v>148</v>
      </c>
      <c r="C10" s="9">
        <v>0.12</v>
      </c>
      <c r="D10" s="9">
        <v>0.15</v>
      </c>
      <c r="E10" s="9">
        <v>0.28</v>
      </c>
      <c r="F10" s="9">
        <v>0.18</v>
      </c>
      <c r="G10" s="10" t="s">
        <v>149</v>
      </c>
    </row>
    <row r="11" spans="1:7" x14ac:dyDescent="0.25">
      <c r="A11" s="6" t="s">
        <v>150</v>
      </c>
      <c r="B11" s="10" t="s">
        <v>151</v>
      </c>
      <c r="C11" s="9">
        <f>'02_Manual_Input'!B23/C5</f>
      </c>
      <c r="D11" s="9">
        <f>'02_Manual_Input'!B24/D5</f>
      </c>
      <c r="E11" s="9">
        <f>'02_Manual_Input'!B25/E5</f>
      </c>
      <c r="F11" s="9">
        <f>'02_Manual_Input'!B26/F5</f>
      </c>
      <c r="G11" s="10" t="s">
        <v>152</v>
      </c>
    </row>
    <row r="12" spans="1:7" x14ac:dyDescent="0.25">
      <c r="A12" s="6" t="s">
        <v>153</v>
      </c>
      <c r="B12" s="10" t="s">
        <v>53</v>
      </c>
      <c r="C12" s="9">
        <f>'02_Manual_Input'!B18</f>
      </c>
      <c r="D12" s="9">
        <f>'02_Manual_Input'!B19</f>
      </c>
      <c r="E12" s="9">
        <f>'02_Manual_Input'!B20</f>
      </c>
      <c r="F12" s="9">
        <f>'02_Manual_Input'!B21</f>
      </c>
      <c r="G12" s="10" t="s">
        <v>154</v>
      </c>
    </row>
    <row r="13" spans="1:7" x14ac:dyDescent="0.25">
      <c r="A13" s="6" t="s">
        <v>155</v>
      </c>
      <c r="B13" s="10" t="s">
        <v>156</v>
      </c>
      <c r="C13" s="9">
        <f>ROUND((C8/60*50)+(C10/1.2*50), 0)</f>
      </c>
      <c r="D13" s="9">
        <f>ROUND((D8/60*50)+(D10/1.2*50), 0)</f>
      </c>
      <c r="E13" s="9">
        <f>ROUND((E8/60*50)+(E10/1.2*50), 0)</f>
      </c>
      <c r="F13" s="9">
        <f>ROUND((F8/60*50)+(F10/1.2*50), 0)</f>
      </c>
      <c r="G13" s="10" t="s">
        <v>157</v>
      </c>
    </row>
    <row r="14" spans="1:7" x14ac:dyDescent="0.25">
      <c r="A14" s="6" t="s">
        <v>158</v>
      </c>
      <c r="B14" s="10" t="s">
        <v>159</v>
      </c>
      <c r="C14" s="9">
        <v>0.06</v>
      </c>
      <c r="D14" s="9">
        <v>0.08</v>
      </c>
      <c r="E14" s="9">
        <v>0.07</v>
      </c>
      <c r="F14" s="9">
        <v>0.09</v>
      </c>
      <c r="G14" s="10" t="s">
        <v>160</v>
      </c>
    </row>
    <row r="15" spans="1:7" x14ac:dyDescent="0.25">
      <c r="A15" s="6" t="s">
        <v>161</v>
      </c>
      <c r="B15" s="10" t="s">
        <v>162</v>
      </c>
      <c r="C15" s="9">
        <v>4.5</v>
      </c>
      <c r="D15" s="9">
        <v>6</v>
      </c>
      <c r="E15" s="9">
        <v>11.2</v>
      </c>
      <c r="F15" s="9">
        <v>3.8</v>
      </c>
      <c r="G15" s="10" t="s">
        <v>163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38" customWidth="1"/>
    <col min="5" max="5" width="28" customWidth="1"/>
  </cols>
  <sheetData>
    <row r="1" ht="28" customHeight="1" spans="1:7" x14ac:dyDescent="0.25">
      <c r="A1" s="1" t="s">
        <v>164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165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166</v>
      </c>
      <c r="B4" s="12" t="s">
        <v>49</v>
      </c>
      <c r="C4" s="12" t="s">
        <v>167</v>
      </c>
      <c r="D4" s="12" t="s">
        <v>168</v>
      </c>
      <c r="E4" s="12" t="s">
        <v>169</v>
      </c>
    </row>
    <row r="5" spans="1:5" x14ac:dyDescent="0.25">
      <c r="A5" s="6" t="s">
        <v>170</v>
      </c>
      <c r="B5" s="10" t="s">
        <v>53</v>
      </c>
      <c r="C5" s="14">
        <f>SUM('04_Train_Analysis'!C12:F12)</f>
      </c>
      <c r="D5" s="10" t="s">
        <v>171</v>
      </c>
      <c r="E5" s="10" t="s">
        <v>172</v>
      </c>
    </row>
    <row r="6" spans="1:5" x14ac:dyDescent="0.25">
      <c r="A6" s="6" t="s">
        <v>173</v>
      </c>
      <c r="B6" s="10" t="s">
        <v>71</v>
      </c>
      <c r="C6" s="14">
        <f>C5 * 24</f>
      </c>
      <c r="D6" s="10" t="s">
        <v>174</v>
      </c>
      <c r="E6" s="10" t="s">
        <v>175</v>
      </c>
    </row>
    <row r="7" spans="1:5" x14ac:dyDescent="0.25">
      <c r="A7" s="6" t="s">
        <v>176</v>
      </c>
      <c r="B7" s="10" t="s">
        <v>177</v>
      </c>
      <c r="C7" s="14">
        <f>ROUND((('02_Manual_Input'!B5 - C5) / '02_Manual_Input'!B5) * 100, 2)</f>
      </c>
      <c r="D7" s="10" t="s">
        <v>178</v>
      </c>
      <c r="E7" s="10" t="s">
        <v>179</v>
      </c>
    </row>
    <row r="8" spans="1:5" x14ac:dyDescent="0.25">
      <c r="A8" s="6" t="s">
        <v>180</v>
      </c>
      <c r="B8" s="10" t="s">
        <v>140</v>
      </c>
      <c r="C8" s="14">
        <f>AVERAGE('04_Train_Analysis'!C7:F7)</f>
      </c>
      <c r="D8" s="10" t="s">
        <v>181</v>
      </c>
      <c r="E8" s="10" t="s">
        <v>182</v>
      </c>
    </row>
    <row r="9" spans="1:5" x14ac:dyDescent="0.25">
      <c r="A9" s="6" t="s">
        <v>183</v>
      </c>
      <c r="B9" s="10" t="s">
        <v>184</v>
      </c>
      <c r="C9" s="14">
        <f>1.784 / (1 + 0.0337*'02_Manual_Input'!B6 + 0.00022*'02_Manual_Input'!B6^2)</f>
      </c>
      <c r="D9" s="10" t="s">
        <v>185</v>
      </c>
      <c r="E9" s="10" t="s">
        <v>186</v>
      </c>
    </row>
    <row r="10" spans="1:5" x14ac:dyDescent="0.25">
      <c r="A10" s="6" t="s">
        <v>187</v>
      </c>
      <c r="B10" s="10" t="s">
        <v>188</v>
      </c>
      <c r="C10" s="14">
        <f>1.025^(20 - '02_Manual_Input'!B6)</f>
      </c>
      <c r="D10" s="10" t="s">
        <v>189</v>
      </c>
      <c r="E10" s="10" t="s">
        <v>190</v>
      </c>
    </row>
    <row r="11" spans="1:5" x14ac:dyDescent="0.25">
      <c r="A11" s="6" t="s">
        <v>191</v>
      </c>
      <c r="B11" s="10" t="s">
        <v>192</v>
      </c>
      <c r="C11" s="14">
        <v>520000000000</v>
      </c>
      <c r="D11" s="10" t="s">
        <v>193</v>
      </c>
      <c r="E11" s="10" t="s">
        <v>194</v>
      </c>
    </row>
    <row r="12" spans="1:5" x14ac:dyDescent="0.25">
      <c r="A12" s="6" t="s">
        <v>195</v>
      </c>
      <c r="B12" s="10" t="s">
        <v>192</v>
      </c>
      <c r="C12" s="14">
        <f>(AVERAGE('04_Train_Analysis'!C8:F8)*1000) / ((C9/1000) * (C8/3600000))</f>
      </c>
      <c r="D12" s="10" t="s">
        <v>196</v>
      </c>
      <c r="E12" s="10" t="s">
        <v>197</v>
      </c>
    </row>
    <row r="13" spans="1:5" x14ac:dyDescent="0.25">
      <c r="A13" s="6" t="s">
        <v>198</v>
      </c>
      <c r="B13" s="10" t="s">
        <v>192</v>
      </c>
      <c r="C13" s="14">
        <f>C12 - C11</f>
      </c>
      <c r="D13" s="10" t="s">
        <v>199</v>
      </c>
      <c r="E13" s="10" t="s">
        <v>200</v>
      </c>
    </row>
    <row r="14" spans="1:5" x14ac:dyDescent="0.25">
      <c r="A14" s="6" t="s">
        <v>201</v>
      </c>
      <c r="B14" s="10" t="s">
        <v>135</v>
      </c>
      <c r="C14" s="14">
        <f>SUM('04_Train_Analysis'!C5:F5)</f>
      </c>
      <c r="D14" s="10" t="s">
        <v>202</v>
      </c>
      <c r="E14" s="10" t="s">
        <v>203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204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205</v>
      </c>
      <c r="B2" s="2"/>
      <c r="C2" s="2"/>
      <c r="D2" s="2"/>
      <c r="E2" s="2"/>
      <c r="F2" s="2"/>
      <c r="G2" s="2"/>
    </row>
    <row r="3" ht="10" customHeight="1" x14ac:dyDescent="0.25"/>
    <row r="4" spans="1:7" s="3" customFormat="1" x14ac:dyDescent="0.25">
      <c r="A4" s="4" t="s">
        <v>206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207</v>
      </c>
      <c r="G4" s="4" t="s">
        <v>208</v>
      </c>
    </row>
    <row r="5" spans="1:7" x14ac:dyDescent="0.25">
      <c r="A5" s="6" t="s">
        <v>209</v>
      </c>
      <c r="B5" s="9">
        <f>'04_Train_Analysis'!C8</f>
      </c>
      <c r="C5" s="9">
        <f>'04_Train_Analysis'!D8</f>
      </c>
      <c r="D5" s="9">
        <f>'04_Train_Analysis'!E8</f>
      </c>
      <c r="E5" s="9">
        <f>'04_Train_Analysis'!F8</f>
      </c>
      <c r="F5" s="9">
        <f>AVERAGE(B5:E5)</f>
      </c>
      <c r="G5" s="10" t="s">
        <v>210</v>
      </c>
    </row>
    <row r="6" spans="1:7" x14ac:dyDescent="0.25">
      <c r="A6" s="6" t="s">
        <v>211</v>
      </c>
      <c r="B6" s="9">
        <f>'04_Train_Analysis'!C7/(B5/100)</f>
      </c>
      <c r="C6" s="9">
        <f>'04_Train_Analysis'!D7/(C5/100)</f>
      </c>
      <c r="D6" s="9">
        <f>'04_Train_Analysis'!E7/(D5/100)</f>
      </c>
      <c r="E6" s="9">
        <f>'04_Train_Analysis'!F7/(E5/100)</f>
      </c>
      <c r="F6" s="9">
        <f>AVERAGE(B6:E6)</f>
      </c>
      <c r="G6" s="10" t="s">
        <v>212</v>
      </c>
    </row>
    <row r="7" spans="1:7" x14ac:dyDescent="0.25">
      <c r="A7" s="6" t="s">
        <v>213</v>
      </c>
      <c r="B7" s="9">
        <f>'04_Train_Analysis'!C9</f>
      </c>
      <c r="C7" s="9">
        <f>'04_Train_Analysis'!D9</f>
      </c>
      <c r="D7" s="9">
        <f>'04_Train_Analysis'!E9</f>
      </c>
      <c r="E7" s="9">
        <f>'04_Train_Analysis'!F9</f>
      </c>
      <c r="F7" s="9">
        <f>AVERAGE(B7:E7)</f>
      </c>
      <c r="G7" s="10" t="s">
        <v>214</v>
      </c>
    </row>
    <row r="8" spans="1:7" x14ac:dyDescent="0.25">
      <c r="A8" s="6" t="s">
        <v>215</v>
      </c>
      <c r="B8" s="9">
        <f>B6/100</f>
      </c>
      <c r="C8" s="9">
        <f>C6/100</f>
      </c>
      <c r="D8" s="9">
        <f>D6/100</f>
      </c>
      <c r="E8" s="9">
        <f>E6/100</f>
      </c>
      <c r="F8" s="9">
        <f>AVERAGE(B8:E8)</f>
      </c>
      <c r="G8" s="10" t="s">
        <v>216</v>
      </c>
    </row>
    <row r="9" spans="1:7" x14ac:dyDescent="0.25">
      <c r="A9" s="6" t="s">
        <v>217</v>
      </c>
      <c r="B9" s="9">
        <v>-1.2</v>
      </c>
      <c r="C9" s="9">
        <v>-1.5</v>
      </c>
      <c r="D9" s="9">
        <v>-3.2</v>
      </c>
      <c r="E9" s="9">
        <v>-1.8</v>
      </c>
      <c r="F9" s="9">
        <f>AVERAGE(B9:E9)</f>
      </c>
      <c r="G9" s="10" t="s">
        <v>218</v>
      </c>
    </row>
    <row r="10" spans="1:7" x14ac:dyDescent="0.25">
      <c r="A10" s="6" t="s">
        <v>219</v>
      </c>
      <c r="B10" s="9" t="s">
        <v>220</v>
      </c>
      <c r="C10" s="9" t="s">
        <v>221</v>
      </c>
      <c r="D10" s="9" t="s">
        <v>222</v>
      </c>
      <c r="E10" s="9" t="s">
        <v>223</v>
      </c>
      <c r="F10" s="9" t="s">
        <v>224</v>
      </c>
      <c r="G10" s="10" t="s">
        <v>225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2" customWidth="1"/>
    <col min="4" max="4" width="32" customWidth="1"/>
    <col min="5" max="5" width="22" customWidth="1"/>
  </cols>
  <sheetData>
    <row r="1" ht="28" customHeight="1" spans="1:7" x14ac:dyDescent="0.25">
      <c r="A1" s="1" t="s">
        <v>226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227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228</v>
      </c>
      <c r="B4" s="12" t="s">
        <v>229</v>
      </c>
      <c r="C4" s="12" t="s">
        <v>49</v>
      </c>
      <c r="D4" s="12" t="s">
        <v>230</v>
      </c>
      <c r="E4" s="12" t="s">
        <v>231</v>
      </c>
    </row>
    <row r="5" spans="1:5" x14ac:dyDescent="0.25">
      <c r="A5" s="6" t="s">
        <v>232</v>
      </c>
      <c r="B5" s="10">
        <f>'02_Manual_Input'!B7</f>
      </c>
      <c r="C5" s="10" t="s">
        <v>60</v>
      </c>
      <c r="D5" s="10" t="s">
        <v>233</v>
      </c>
      <c r="E5" s="10" t="s">
        <v>234</v>
      </c>
    </row>
    <row r="6" spans="1:5" x14ac:dyDescent="0.25">
      <c r="A6" s="6" t="s">
        <v>235</v>
      </c>
      <c r="B6" s="10">
        <f>'02_Manual_Input'!B8</f>
      </c>
      <c r="C6" s="10" t="s">
        <v>60</v>
      </c>
      <c r="D6" s="10" t="s">
        <v>233</v>
      </c>
      <c r="E6" s="10" t="s">
        <v>236</v>
      </c>
    </row>
    <row r="7" spans="1:5" x14ac:dyDescent="0.25">
      <c r="A7" s="6" t="s">
        <v>237</v>
      </c>
      <c r="B7" s="10">
        <f>'02_Manual_Input'!B9</f>
      </c>
      <c r="C7" s="10" t="s">
        <v>60</v>
      </c>
      <c r="D7" s="10" t="s">
        <v>238</v>
      </c>
      <c r="E7" s="10" t="s">
        <v>239</v>
      </c>
    </row>
    <row r="8" spans="1:5" x14ac:dyDescent="0.25">
      <c r="A8" s="6" t="s">
        <v>240</v>
      </c>
      <c r="B8" s="10">
        <f>ROUND(B7 / B6, 3)</f>
      </c>
      <c r="C8" s="10" t="s">
        <v>188</v>
      </c>
      <c r="D8" s="10" t="s">
        <v>241</v>
      </c>
      <c r="E8" s="10" t="s">
        <v>242</v>
      </c>
    </row>
    <row r="9" spans="1:5" x14ac:dyDescent="0.25">
      <c r="A9" s="6" t="s">
        <v>243</v>
      </c>
      <c r="B9" s="10">
        <v>3600</v>
      </c>
      <c r="C9" s="10" t="s">
        <v>244</v>
      </c>
      <c r="D9" s="10" t="s">
        <v>245</v>
      </c>
      <c r="E9" s="10" t="s">
        <v>246</v>
      </c>
    </row>
    <row r="10" spans="1:5" x14ac:dyDescent="0.25">
      <c r="A10" s="6" t="s">
        <v>247</v>
      </c>
      <c r="B10" s="10">
        <v>720</v>
      </c>
      <c r="C10" s="10" t="s">
        <v>244</v>
      </c>
      <c r="D10" s="10" t="s">
        <v>245</v>
      </c>
      <c r="E10" s="10" t="s">
        <v>246</v>
      </c>
    </row>
    <row r="11" spans="1:5" x14ac:dyDescent="0.25">
      <c r="A11" s="6" t="s">
        <v>248</v>
      </c>
      <c r="B11" s="10">
        <f>ROUND(((B5*B9) + (B6*B10)) / 1000, 1)</f>
      </c>
      <c r="C11" s="10" t="s">
        <v>249</v>
      </c>
      <c r="D11" s="10" t="s">
        <v>250</v>
      </c>
      <c r="E11" s="10" t="s">
        <v>251</v>
      </c>
    </row>
    <row r="12" spans="1:5" x14ac:dyDescent="0.25">
      <c r="A12" s="6" t="s">
        <v>252</v>
      </c>
      <c r="B12" s="10">
        <f>ROUND(('02_Manual_Input'!B5 * '02_Manual_Input'!B10 * 24 / 1000) / (B11 * B8), 3)</f>
      </c>
      <c r="C12" s="10" t="s">
        <v>253</v>
      </c>
      <c r="D12" s="10" t="s">
        <v>254</v>
      </c>
      <c r="E12" s="10" t="s">
        <v>255</v>
      </c>
    </row>
    <row r="13" spans="1:5" x14ac:dyDescent="0.25">
      <c r="A13" s="6" t="s">
        <v>256</v>
      </c>
      <c r="B13" s="10">
        <f>ROUND((('02_Manual_Input'!B10 - '02_Manual_Input'!B11) / '02_Manual_Input'!B10) * 100, 1)</f>
      </c>
      <c r="C13" s="10" t="s">
        <v>177</v>
      </c>
      <c r="D13" s="10" t="s">
        <v>257</v>
      </c>
      <c r="E13" s="10" t="s">
        <v>258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2" customWidth="1"/>
    <col min="4" max="4" width="35" customWidth="1"/>
    <col min="5" max="5" width="22" customWidth="1"/>
  </cols>
  <sheetData>
    <row r="1" ht="28" customHeight="1" spans="1:7" x14ac:dyDescent="0.25">
      <c r="A1" s="1" t="s">
        <v>259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260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261</v>
      </c>
      <c r="B4" s="12" t="s">
        <v>229</v>
      </c>
      <c r="C4" s="12" t="s">
        <v>49</v>
      </c>
      <c r="D4" s="12" t="s">
        <v>168</v>
      </c>
      <c r="E4" s="12" t="s">
        <v>8</v>
      </c>
    </row>
    <row r="5" spans="1:5" x14ac:dyDescent="0.25">
      <c r="A5" s="6" t="s">
        <v>262</v>
      </c>
      <c r="B5" s="10">
        <f>'07_Biology'!B11</f>
      </c>
      <c r="C5" s="10" t="s">
        <v>263</v>
      </c>
      <c r="D5" s="10" t="s">
        <v>264</v>
      </c>
      <c r="E5" s="10" t="s">
        <v>265</v>
      </c>
    </row>
    <row r="6" spans="1:5" x14ac:dyDescent="0.25">
      <c r="A6" s="6" t="s">
        <v>266</v>
      </c>
      <c r="B6" s="10">
        <f>'02_Manual_Input'!B12</f>
      </c>
      <c r="C6" s="10" t="s">
        <v>71</v>
      </c>
      <c r="D6" s="10" t="s">
        <v>267</v>
      </c>
      <c r="E6" s="10" t="s">
        <v>268</v>
      </c>
    </row>
    <row r="7" spans="1:5" x14ac:dyDescent="0.25">
      <c r="A7" s="6" t="s">
        <v>269</v>
      </c>
      <c r="B7" s="10">
        <f>'07_Biology'!B6</f>
      </c>
      <c r="C7" s="10" t="s">
        <v>60</v>
      </c>
      <c r="D7" s="10" t="s">
        <v>270</v>
      </c>
      <c r="E7" s="10" t="s">
        <v>271</v>
      </c>
    </row>
    <row r="8" spans="1:5" x14ac:dyDescent="0.25">
      <c r="A8" s="6" t="s">
        <v>272</v>
      </c>
      <c r="B8" s="10">
        <f>ROUND((B6 * B7) / 1000, 1)</f>
      </c>
      <c r="C8" s="10" t="s">
        <v>273</v>
      </c>
      <c r="D8" s="10" t="s">
        <v>274</v>
      </c>
      <c r="E8" s="10" t="s">
        <v>275</v>
      </c>
    </row>
    <row r="9" spans="1:5" x14ac:dyDescent="0.25">
      <c r="A9" s="6" t="s">
        <v>276</v>
      </c>
      <c r="B9" s="10">
        <f>ROUND(B5 / B8, 1)</f>
      </c>
      <c r="C9" s="10" t="s">
        <v>162</v>
      </c>
      <c r="D9" s="10" t="s">
        <v>277</v>
      </c>
      <c r="E9" s="10" t="s">
        <v>278</v>
      </c>
    </row>
    <row r="10" spans="1:5" x14ac:dyDescent="0.25">
      <c r="A10" s="6" t="s">
        <v>279</v>
      </c>
      <c r="B10" s="10">
        <v>20</v>
      </c>
      <c r="C10" s="10" t="s">
        <v>162</v>
      </c>
      <c r="D10" s="10" t="s">
        <v>280</v>
      </c>
      <c r="E10" s="10" t="s">
        <v>281</v>
      </c>
    </row>
    <row r="11" spans="1:5" x14ac:dyDescent="0.25">
      <c r="A11" s="6" t="s">
        <v>282</v>
      </c>
      <c r="B11" s="10">
        <f>ROUND((B5 / B10) * 1000 / B7, 1)</f>
      </c>
      <c r="C11" s="10" t="s">
        <v>71</v>
      </c>
      <c r="D11" s="10" t="s">
        <v>283</v>
      </c>
      <c r="E11" s="10" t="s">
        <v>284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8" width="14" customWidth="1"/>
  </cols>
  <sheetData>
    <row r="1" ht="28" customHeight="1" spans="1:7" x14ac:dyDescent="0.25">
      <c r="A1" s="1" t="s">
        <v>285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286</v>
      </c>
      <c r="B2" s="2"/>
      <c r="C2" s="2"/>
      <c r="D2" s="2"/>
      <c r="E2" s="2"/>
      <c r="F2" s="2"/>
      <c r="G2" s="2"/>
    </row>
    <row r="3" ht="10" customHeight="1" x14ac:dyDescent="0.25"/>
    <row r="4" spans="1:8" s="3" customFormat="1" x14ac:dyDescent="0.25">
      <c r="A4" s="4" t="s">
        <v>287</v>
      </c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spans="1:8" x14ac:dyDescent="0.25">
      <c r="A5" s="10" t="s">
        <v>295</v>
      </c>
      <c r="B5" s="9" t="s">
        <v>118</v>
      </c>
      <c r="C5" s="9" t="s">
        <v>296</v>
      </c>
      <c r="D5" s="9" t="s">
        <v>297</v>
      </c>
      <c r="E5" s="9">
        <v>500</v>
      </c>
      <c r="F5" s="9">
        <v>128</v>
      </c>
      <c r="G5" s="9">
        <v>245</v>
      </c>
      <c r="H5" s="9">
        <f>ROUND((G5-F5)/(280-F5)*100, 1)</f>
      </c>
    </row>
    <row r="6" spans="1:8" x14ac:dyDescent="0.25">
      <c r="A6" s="10" t="s">
        <v>298</v>
      </c>
      <c r="B6" s="9" t="s">
        <v>121</v>
      </c>
      <c r="C6" s="9" t="s">
        <v>296</v>
      </c>
      <c r="D6" s="9" t="s">
        <v>297</v>
      </c>
      <c r="E6" s="9">
        <v>500</v>
      </c>
      <c r="F6" s="9">
        <v>132</v>
      </c>
      <c r="G6" s="9">
        <v>252</v>
      </c>
      <c r="H6" s="9">
        <f>ROUND((G6-F6)/(280-F6)*100, 1)</f>
      </c>
    </row>
    <row r="7" spans="1:8" x14ac:dyDescent="0.25">
      <c r="A7" s="10" t="s">
        <v>299</v>
      </c>
      <c r="B7" s="9" t="s">
        <v>125</v>
      </c>
      <c r="C7" s="9" t="s">
        <v>300</v>
      </c>
      <c r="D7" s="9" t="s">
        <v>301</v>
      </c>
      <c r="E7" s="9">
        <v>2000</v>
      </c>
      <c r="F7" s="9">
        <v>140</v>
      </c>
      <c r="G7" s="9">
        <v>258</v>
      </c>
      <c r="H7" s="9">
        <f>ROUND((G7-F7)/(280-F7)*100, 1)</f>
      </c>
    </row>
    <row r="8" spans="1:8" x14ac:dyDescent="0.25">
      <c r="A8" s="10" t="s">
        <v>302</v>
      </c>
      <c r="B8" s="9" t="s">
        <v>123</v>
      </c>
      <c r="C8" s="9" t="s">
        <v>296</v>
      </c>
      <c r="D8" s="9" t="s">
        <v>297</v>
      </c>
      <c r="E8" s="9">
        <v>500</v>
      </c>
      <c r="F8" s="9">
        <v>110</v>
      </c>
      <c r="G8" s="9">
        <v>185</v>
      </c>
      <c r="H8" s="9">
        <f>ROUND((G8-F8)/(280-F8)*100, 1)</f>
      </c>
    </row>
    <row r="9" spans="1:8" x14ac:dyDescent="0.25">
      <c r="A9" s="10" t="s">
        <v>303</v>
      </c>
      <c r="B9" s="9" t="s">
        <v>118</v>
      </c>
      <c r="C9" s="9" t="s">
        <v>300</v>
      </c>
      <c r="D9" s="9" t="s">
        <v>301</v>
      </c>
      <c r="E9" s="9">
        <v>2000</v>
      </c>
      <c r="F9" s="9">
        <v>138</v>
      </c>
      <c r="G9" s="9">
        <v>248</v>
      </c>
      <c r="H9" s="9">
        <f>ROUND((G9-F9)/(280-F9)*100, 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5" width="16" customWidth="1"/>
    <col min="6" max="6" width="18" customWidth="1"/>
    <col min="7" max="7" width="14" customWidth="1"/>
  </cols>
  <sheetData>
    <row r="1" ht="28" customHeight="1" spans="1:7" x14ac:dyDescent="0.25">
      <c r="A1" s="1" t="s">
        <v>304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305</v>
      </c>
      <c r="B2" s="2"/>
      <c r="C2" s="2"/>
      <c r="D2" s="2"/>
      <c r="E2" s="2"/>
      <c r="F2" s="2"/>
      <c r="G2" s="2"/>
    </row>
    <row r="3" ht="10" customHeight="1" x14ac:dyDescent="0.25"/>
    <row r="4" spans="1:7" s="3" customFormat="1" x14ac:dyDescent="0.25">
      <c r="A4" s="4" t="s">
        <v>306</v>
      </c>
      <c r="B4" s="4" t="s">
        <v>307</v>
      </c>
      <c r="C4" s="4" t="s">
        <v>288</v>
      </c>
      <c r="D4" s="4" t="s">
        <v>308</v>
      </c>
      <c r="E4" s="4" t="s">
        <v>309</v>
      </c>
      <c r="F4" s="4" t="s">
        <v>310</v>
      </c>
      <c r="G4" s="4" t="s">
        <v>311</v>
      </c>
    </row>
    <row r="5" spans="1:7" x14ac:dyDescent="0.25">
      <c r="A5" s="6" t="s">
        <v>312</v>
      </c>
      <c r="B5" s="10" t="s">
        <v>313</v>
      </c>
      <c r="C5" s="9" t="s">
        <v>118</v>
      </c>
      <c r="D5" s="9">
        <v>64.5</v>
      </c>
      <c r="E5" s="9">
        <v>12450</v>
      </c>
      <c r="F5" s="9">
        <v>1.8</v>
      </c>
      <c r="G5" s="9" t="s">
        <v>314</v>
      </c>
    </row>
    <row r="6" spans="1:7" x14ac:dyDescent="0.25">
      <c r="A6" s="6" t="s">
        <v>315</v>
      </c>
      <c r="B6" s="10" t="s">
        <v>316</v>
      </c>
      <c r="C6" s="9" t="s">
        <v>121</v>
      </c>
      <c r="D6" s="9">
        <v>66.2</v>
      </c>
      <c r="E6" s="9">
        <v>12380</v>
      </c>
      <c r="F6" s="9">
        <v>2.1</v>
      </c>
      <c r="G6" s="9" t="s">
        <v>314</v>
      </c>
    </row>
    <row r="7" spans="1:7" x14ac:dyDescent="0.25">
      <c r="A7" s="6" t="s">
        <v>317</v>
      </c>
      <c r="B7" s="10" t="s">
        <v>318</v>
      </c>
      <c r="C7" s="9" t="s">
        <v>123</v>
      </c>
      <c r="D7" s="9">
        <v>72.8</v>
      </c>
      <c r="E7" s="9">
        <v>12510</v>
      </c>
      <c r="F7" s="9">
        <v>3.4</v>
      </c>
      <c r="G7" s="9" t="s">
        <v>319</v>
      </c>
    </row>
    <row r="8" spans="1:7" x14ac:dyDescent="0.25">
      <c r="A8" s="6" t="s">
        <v>320</v>
      </c>
      <c r="B8" s="10" t="s">
        <v>321</v>
      </c>
      <c r="C8" s="9" t="s">
        <v>125</v>
      </c>
      <c r="D8" s="9">
        <v>68</v>
      </c>
      <c r="E8" s="9">
        <v>11980</v>
      </c>
      <c r="F8" s="9">
        <v>1.9</v>
      </c>
      <c r="G8" s="9" t="s">
        <v>314</v>
      </c>
    </row>
    <row r="9" spans="1:7" x14ac:dyDescent="0.25">
      <c r="A9" s="6" t="s">
        <v>322</v>
      </c>
      <c r="B9" s="10" t="s">
        <v>323</v>
      </c>
      <c r="C9" s="9" t="s">
        <v>118</v>
      </c>
      <c r="D9" s="9">
        <v>82</v>
      </c>
      <c r="E9" s="9">
        <v>18200</v>
      </c>
      <c r="F9" s="9">
        <v>2.4</v>
      </c>
      <c r="G9" s="9" t="s">
        <v>314</v>
      </c>
    </row>
    <row r="10" spans="1:7" x14ac:dyDescent="0.25">
      <c r="A10" s="6" t="s">
        <v>324</v>
      </c>
      <c r="B10" s="10" t="s">
        <v>325</v>
      </c>
      <c r="C10" s="9" t="s">
        <v>121</v>
      </c>
      <c r="D10" s="9">
        <v>82</v>
      </c>
      <c r="E10" s="9">
        <v>18150</v>
      </c>
      <c r="F10" s="9">
        <v>2.3</v>
      </c>
      <c r="G10" s="9" t="s">
        <v>314</v>
      </c>
    </row>
    <row r="11" spans="1:7" x14ac:dyDescent="0.25">
      <c r="A11" s="6" t="s">
        <v>326</v>
      </c>
      <c r="B11" s="10" t="s">
        <v>327</v>
      </c>
      <c r="C11" s="9" t="s">
        <v>123</v>
      </c>
      <c r="D11" s="9">
        <v>82</v>
      </c>
      <c r="E11" s="9">
        <v>18400</v>
      </c>
      <c r="F11" s="9">
        <v>2.6</v>
      </c>
      <c r="G11" s="9" t="s">
        <v>314</v>
      </c>
    </row>
    <row r="12" spans="1:7" x14ac:dyDescent="0.25">
      <c r="A12" s="6" t="s">
        <v>328</v>
      </c>
      <c r="B12" s="10" t="s">
        <v>329</v>
      </c>
      <c r="C12" s="9" t="s">
        <v>125</v>
      </c>
      <c r="D12" s="9">
        <v>82</v>
      </c>
      <c r="E12" s="9">
        <v>18050</v>
      </c>
      <c r="F12" s="9">
        <v>2.5</v>
      </c>
      <c r="G12" s="9" t="s">
        <v>314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4" customWidth="1"/>
    <col min="5" max="5" width="15" customWidth="1"/>
    <col min="6" max="9" width="14" customWidth="1"/>
    <col min="10" max="10" width="38" customWidth="1"/>
  </cols>
  <sheetData>
    <row r="1" ht="28" customHeight="1" spans="1:7" x14ac:dyDescent="0.25">
      <c r="A1" s="1" t="s">
        <v>330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331</v>
      </c>
      <c r="B2" s="2"/>
      <c r="C2" s="2"/>
      <c r="D2" s="2"/>
      <c r="E2" s="2"/>
      <c r="F2" s="2"/>
      <c r="G2" s="2"/>
    </row>
    <row r="3" ht="10" customHeight="1" x14ac:dyDescent="0.25"/>
    <row r="4" spans="1:10" s="3" customFormat="1" x14ac:dyDescent="0.25">
      <c r="A4" s="4" t="s">
        <v>332</v>
      </c>
      <c r="B4" s="4" t="s">
        <v>333</v>
      </c>
      <c r="C4" s="4" t="s">
        <v>334</v>
      </c>
      <c r="D4" s="4" t="s">
        <v>335</v>
      </c>
      <c r="E4" s="4" t="s">
        <v>336</v>
      </c>
      <c r="F4" s="4" t="s">
        <v>337</v>
      </c>
      <c r="G4" s="4" t="s">
        <v>338</v>
      </c>
      <c r="H4" s="4" t="s">
        <v>339</v>
      </c>
      <c r="I4" s="4" t="s">
        <v>340</v>
      </c>
      <c r="J4" s="4" t="s">
        <v>341</v>
      </c>
    </row>
    <row r="5" spans="1:10" x14ac:dyDescent="0.25">
      <c r="A5" s="6" t="s">
        <v>342</v>
      </c>
      <c r="B5" s="9" t="s">
        <v>343</v>
      </c>
      <c r="C5" s="9" t="s">
        <v>123</v>
      </c>
      <c r="D5" s="9">
        <v>45</v>
      </c>
      <c r="E5" s="9">
        <v>3</v>
      </c>
      <c r="F5" s="9">
        <f>D5-E5</f>
      </c>
      <c r="G5" s="9">
        <v>120</v>
      </c>
      <c r="H5" s="9">
        <f>'04_Train_Analysis'!E8</f>
      </c>
      <c r="I5" s="7">
        <f>IF(H5&gt;=D5, "ACTIVE", IF(H5&lt;F5, "CLEARED", "LATCHED"))</f>
      </c>
      <c r="J5" s="10" t="s">
        <v>344</v>
      </c>
    </row>
    <row r="6" spans="1:10" x14ac:dyDescent="0.25">
      <c r="A6" s="6" t="s">
        <v>345</v>
      </c>
      <c r="B6" s="9" t="s">
        <v>346</v>
      </c>
      <c r="C6" s="9" t="s">
        <v>123</v>
      </c>
      <c r="D6" s="9">
        <v>60</v>
      </c>
      <c r="E6" s="9">
        <v>5</v>
      </c>
      <c r="F6" s="9">
        <f>D6-E6</f>
      </c>
      <c r="G6" s="9">
        <v>30</v>
      </c>
      <c r="H6" s="9">
        <f>'04_Train_Analysis'!E8</f>
      </c>
      <c r="I6" s="7">
        <f>IF(H6&gt;=D6, "ACTIVE", IF(H6&lt;F6, "CLEARED", "LATCHED"))</f>
      </c>
      <c r="J6" s="10" t="s">
        <v>347</v>
      </c>
    </row>
    <row r="7" spans="1:10" x14ac:dyDescent="0.25">
      <c r="A7" s="6" t="s">
        <v>348</v>
      </c>
      <c r="B7" s="9" t="s">
        <v>349</v>
      </c>
      <c r="C7" s="9" t="s">
        <v>123</v>
      </c>
      <c r="D7" s="9">
        <v>1.2</v>
      </c>
      <c r="E7" s="9">
        <v>0.2</v>
      </c>
      <c r="F7" s="9">
        <f>D7-E7</f>
      </c>
      <c r="G7" s="9">
        <v>300</v>
      </c>
      <c r="H7" s="9">
        <f>'04_Train_Analysis'!E10</f>
      </c>
      <c r="I7" s="7">
        <f>IF(H7&gt;=D7, "ACTIVE", IF(H7&lt;F7, "CLEARED", "LATCHED"))</f>
      </c>
      <c r="J7" s="10" t="s">
        <v>350</v>
      </c>
    </row>
    <row r="8" spans="1:10" x14ac:dyDescent="0.25">
      <c r="A8" s="6" t="s">
        <v>351</v>
      </c>
      <c r="B8" s="9" t="s">
        <v>349</v>
      </c>
      <c r="C8" s="9" t="s">
        <v>123</v>
      </c>
      <c r="D8" s="9">
        <v>100</v>
      </c>
      <c r="E8" s="9">
        <v>10</v>
      </c>
      <c r="F8" s="9">
        <f>D8+E8</f>
      </c>
      <c r="G8" s="9">
        <v>600</v>
      </c>
      <c r="H8" s="9">
        <f>'04_Train_Analysis'!E9</f>
      </c>
      <c r="I8" s="7">
        <f>IF(H8&lt;=D8, "ACTIVE", IF(H8&gt;F8, "CLEARED", "LATCHED"))</f>
      </c>
      <c r="J8" s="10" t="s">
        <v>352</v>
      </c>
    </row>
    <row r="9" spans="1:10" x14ac:dyDescent="0.25">
      <c r="A9" s="6" t="s">
        <v>353</v>
      </c>
      <c r="B9" s="9" t="s">
        <v>346</v>
      </c>
      <c r="C9" s="9" t="s">
        <v>123</v>
      </c>
      <c r="D9" s="9">
        <v>60</v>
      </c>
      <c r="E9" s="9">
        <v>15</v>
      </c>
      <c r="F9" s="9">
        <f>D9+E9</f>
      </c>
      <c r="G9" s="9">
        <v>300</v>
      </c>
      <c r="H9" s="9">
        <f>'04_Train_Analysis'!E9</f>
      </c>
      <c r="I9" s="7">
        <f>IF(H9&lt;=D9, "ACTIVE", IF(H9&gt;F9, "CLEARED", "LATCHED"))</f>
      </c>
      <c r="J9" s="10" t="s">
        <v>354</v>
      </c>
    </row>
    <row r="10" spans="1:10" x14ac:dyDescent="0.25">
      <c r="A10" s="6" t="s">
        <v>355</v>
      </c>
      <c r="B10" s="9" t="s">
        <v>343</v>
      </c>
      <c r="C10" s="9" t="s">
        <v>123</v>
      </c>
      <c r="D10" s="9">
        <v>750</v>
      </c>
      <c r="E10" s="9">
        <v>50</v>
      </c>
      <c r="F10" s="9">
        <f>D10+E10</f>
      </c>
      <c r="G10" s="9">
        <v>60</v>
      </c>
      <c r="H10" s="9">
        <f>'04_Train_Analysis'!E11</f>
      </c>
      <c r="I10" s="7">
        <f>IF(H10&lt;=D10, "ACTIVE", IF(H10&gt;F10, "CLEARED", "LATCHED"))</f>
      </c>
      <c r="J10" s="10" t="s">
        <v>356</v>
      </c>
    </row>
    <row r="11" spans="1:10" x14ac:dyDescent="0.25">
      <c r="A11" s="6" t="s">
        <v>357</v>
      </c>
      <c r="B11" s="9" t="s">
        <v>343</v>
      </c>
      <c r="C11" s="9" t="s">
        <v>358</v>
      </c>
      <c r="D11" s="9">
        <v>14000</v>
      </c>
      <c r="E11" s="9">
        <v>500</v>
      </c>
      <c r="F11" s="9">
        <f>D11-E11</f>
      </c>
      <c r="G11" s="9">
        <v>1800</v>
      </c>
      <c r="H11" s="9">
        <f>'07_Biology'!B6</f>
      </c>
      <c r="I11" s="7">
        <f>IF(H11&gt;=D11, "ACTIVE", IF(H11&lt;F11, "CLEARED", "LATCHED"))</f>
      </c>
      <c r="J11" s="10" t="s">
        <v>359</v>
      </c>
    </row>
    <row r="12" spans="1:10" x14ac:dyDescent="0.25">
      <c r="A12" s="6" t="s">
        <v>360</v>
      </c>
      <c r="B12" s="9" t="s">
        <v>349</v>
      </c>
      <c r="C12" s="9" t="s">
        <v>358</v>
      </c>
      <c r="D12" s="9">
        <v>1.2</v>
      </c>
      <c r="E12" s="9">
        <v>0.3</v>
      </c>
      <c r="F12" s="9">
        <f>D12+E12</f>
      </c>
      <c r="G12" s="9">
        <v>300</v>
      </c>
      <c r="H12" s="9">
        <f>'07_Biology'!B9</f>
      </c>
      <c r="I12" s="7">
        <f>IF(H12&lt;=D12, "ACTIVE", IF(H12&gt;F12, "CLEARED", "LATCHED"))</f>
      </c>
      <c r="J12" s="10" t="s">
        <v>361</v>
      </c>
    </row>
    <row r="13" spans="1:10" x14ac:dyDescent="0.25">
      <c r="A13" s="6" t="s">
        <v>362</v>
      </c>
      <c r="B13" s="9" t="s">
        <v>346</v>
      </c>
      <c r="C13" s="9" t="s">
        <v>363</v>
      </c>
      <c r="D13" s="9">
        <v>0.4</v>
      </c>
      <c r="E13" s="9">
        <v>0.1</v>
      </c>
      <c r="F13" s="9">
        <f>D13-E13</f>
      </c>
      <c r="G13" s="9">
        <v>30</v>
      </c>
      <c r="H13" s="9">
        <f>MAX('04_Train_Analysis'!C14:F14)</f>
      </c>
      <c r="I13" s="7">
        <f>IF(H13&gt;=D13, "ACTIVE", IF(H13&lt;F13, "CLEARED", "LATCHED"))</f>
      </c>
      <c r="J13" s="10" t="s">
        <v>364</v>
      </c>
    </row>
    <row r="14" spans="1:10" x14ac:dyDescent="0.25">
      <c r="A14" s="6" t="s">
        <v>365</v>
      </c>
      <c r="B14" s="9" t="s">
        <v>349</v>
      </c>
      <c r="C14" s="9" t="s">
        <v>123</v>
      </c>
      <c r="D14" s="9">
        <v>70</v>
      </c>
      <c r="E14" s="9">
        <v>5</v>
      </c>
      <c r="F14" s="9">
        <f>D14+E14</f>
      </c>
      <c r="G14" s="9">
        <v>0</v>
      </c>
      <c r="H14" s="9">
        <f>'09_Cleaning'!G5</f>
      </c>
      <c r="I14" s="7">
        <f>IF(H14&lt;=D14, "ACTIVE", IF(H14&gt;F14, "CLEARED", "LATCHED"))</f>
      </c>
      <c r="J14" s="10" t="s">
        <v>366</v>
      </c>
    </row>
    <row r="16" spans="1:10" s="3" customFormat="1" x14ac:dyDescent="0.25">
      <c r="A16" s="15" t="s">
        <v>367</v>
      </c>
      <c r="B16" s="15" t="s">
        <v>368</v>
      </c>
      <c r="C16" s="15" t="s">
        <v>369</v>
      </c>
      <c r="D16" s="15" t="s">
        <v>370</v>
      </c>
      <c r="E16" s="15" t="s">
        <v>371</v>
      </c>
      <c r="F16" s="15" t="s">
        <v>372</v>
      </c>
      <c r="G16" s="15" t="s">
        <v>372</v>
      </c>
      <c r="H16" s="15" t="s">
        <v>372</v>
      </c>
      <c r="I16" s="15" t="s">
        <v>373</v>
      </c>
      <c r="J16" s="15" t="s">
        <v>374</v>
      </c>
    </row>
    <row r="17" spans="1:10" x14ac:dyDescent="0.25">
      <c r="A17" s="10" t="s">
        <v>375</v>
      </c>
      <c r="B17" s="9">
        <v>0.4</v>
      </c>
      <c r="C17" s="10" t="s">
        <v>376</v>
      </c>
      <c r="D17" s="9">
        <v>42.5</v>
      </c>
      <c r="E17" s="9">
        <f>B17*D17</f>
      </c>
      <c r="F17" s="10" t="s">
        <v>372</v>
      </c>
      <c r="G17" s="10" t="s">
        <v>372</v>
      </c>
      <c r="H17" s="10" t="s">
        <v>372</v>
      </c>
      <c r="I17" s="9" t="s">
        <v>377</v>
      </c>
      <c r="J17" s="9" t="s">
        <v>378</v>
      </c>
    </row>
    <row r="18" spans="1:10" x14ac:dyDescent="0.25">
      <c r="A18" s="10" t="s">
        <v>379</v>
      </c>
      <c r="B18" s="9">
        <v>0.25</v>
      </c>
      <c r="C18" s="10" t="s">
        <v>380</v>
      </c>
      <c r="D18" s="9">
        <v>35</v>
      </c>
      <c r="E18" s="9">
        <f>B18*D18</f>
      </c>
      <c r="F18" s="10" t="s">
        <v>372</v>
      </c>
      <c r="G18" s="10" t="s">
        <v>372</v>
      </c>
      <c r="H18" s="10" t="s">
        <v>372</v>
      </c>
      <c r="I18" s="9" t="s">
        <v>381</v>
      </c>
      <c r="J18" s="9" t="s">
        <v>382</v>
      </c>
    </row>
    <row r="19" spans="1:10" x14ac:dyDescent="0.25">
      <c r="A19" s="10" t="s">
        <v>383</v>
      </c>
      <c r="B19" s="9">
        <v>0.2</v>
      </c>
      <c r="C19" s="10" t="s">
        <v>384</v>
      </c>
      <c r="D19" s="9">
        <v>28</v>
      </c>
      <c r="E19" s="9">
        <f>B19*D19</f>
      </c>
      <c r="F19" s="10" t="s">
        <v>372</v>
      </c>
      <c r="G19" s="10" t="s">
        <v>372</v>
      </c>
      <c r="H19" s="10" t="s">
        <v>372</v>
      </c>
      <c r="I19" s="9" t="s">
        <v>381</v>
      </c>
      <c r="J19" s="9" t="s">
        <v>385</v>
      </c>
    </row>
    <row r="20" spans="1:10" x14ac:dyDescent="0.25">
      <c r="A20" s="10" t="s">
        <v>386</v>
      </c>
      <c r="B20" s="9">
        <v>0.15</v>
      </c>
      <c r="C20" s="10" t="s">
        <v>387</v>
      </c>
      <c r="D20" s="9">
        <v>10</v>
      </c>
      <c r="E20" s="9">
        <f>B20*D20</f>
      </c>
      <c r="F20" s="10" t="s">
        <v>372</v>
      </c>
      <c r="G20" s="10" t="s">
        <v>372</v>
      </c>
      <c r="H20" s="10" t="s">
        <v>372</v>
      </c>
      <c r="I20" s="9" t="s">
        <v>388</v>
      </c>
      <c r="J20" s="9" t="s">
        <v>389</v>
      </c>
    </row>
    <row r="21" spans="1:10" x14ac:dyDescent="0.25">
      <c r="A21" s="16" t="s">
        <v>390</v>
      </c>
      <c r="B21" s="17">
        <f>SUM(B17:B20)</f>
      </c>
      <c r="C21" s="16" t="s">
        <v>391</v>
      </c>
      <c r="D21" s="17">
        <f>AVERAGE(D17:D20)</f>
      </c>
      <c r="E21" s="17">
        <f>SUM(E17:E20)</f>
      </c>
      <c r="F21" s="16" t="s">
        <v>372</v>
      </c>
      <c r="G21" s="16" t="s">
        <v>372</v>
      </c>
      <c r="H21" s="16" t="s">
        <v>372</v>
      </c>
      <c r="I21" s="17">
        <f>IF(E21&gt;=75, "CRITICAL", IF(E21&gt;=50, "HIGH", IF(E21&gt;=30, "ELEVATED", "NORMAL")))</f>
      </c>
      <c r="J21" s="17" t="s">
        <v>392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6" width="13" customWidth="1"/>
    <col min="7" max="8" width="15" customWidth="1"/>
    <col min="9" max="9" width="18" customWidth="1"/>
    <col min="10" max="10" width="20" customWidth="1"/>
  </cols>
  <sheetData>
    <row r="1" ht="28" customHeight="1" spans="1:7" x14ac:dyDescent="0.25">
      <c r="A1" s="1" t="s">
        <v>393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394</v>
      </c>
      <c r="B2" s="2"/>
      <c r="C2" s="2"/>
      <c r="D2" s="2"/>
      <c r="E2" s="2"/>
      <c r="F2" s="2"/>
      <c r="G2" s="2"/>
    </row>
    <row r="3" ht="10" customHeight="1" x14ac:dyDescent="0.25"/>
    <row r="4" spans="1:10" s="3" customFormat="1" x14ac:dyDescent="0.25">
      <c r="A4" s="4" t="s">
        <v>395</v>
      </c>
      <c r="B4" s="4" t="s">
        <v>49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396</v>
      </c>
      <c r="H4" s="4" t="s">
        <v>397</v>
      </c>
      <c r="I4" s="4" t="s">
        <v>398</v>
      </c>
      <c r="J4" s="4" t="s">
        <v>399</v>
      </c>
    </row>
    <row r="5" spans="1:10" x14ac:dyDescent="0.25">
      <c r="A5" s="6" t="s">
        <v>400</v>
      </c>
      <c r="B5" s="9" t="s">
        <v>145</v>
      </c>
      <c r="C5" s="9">
        <f>'04_Train_Analysis'!C9</f>
      </c>
      <c r="D5" s="9">
        <f>'04_Train_Analysis'!D9</f>
      </c>
      <c r="E5" s="9">
        <f>'04_Train_Analysis'!E9</f>
      </c>
      <c r="F5" s="9">
        <f>'04_Train_Analysis'!F9</f>
      </c>
      <c r="G5" s="9">
        <f>AVERAGE(C5:F5)</f>
      </c>
      <c r="H5" s="9">
        <f>STDEV.S(C5:F5)</f>
      </c>
      <c r="I5" s="9">
        <f>MAX(C5:F5)-MIN(C5:F5)</f>
      </c>
      <c r="J5" s="7">
        <f>IF((MAX(C5:F5)-MIN(C5:F5))/G5&gt;0.2, "DIVERGENT OUTLIER", "NORMAL")</f>
      </c>
    </row>
    <row r="6" spans="1:10" x14ac:dyDescent="0.25">
      <c r="A6" s="6" t="s">
        <v>401</v>
      </c>
      <c r="B6" s="9" t="s">
        <v>78</v>
      </c>
      <c r="C6" s="9">
        <f>'04_Train_Analysis'!C8</f>
      </c>
      <c r="D6" s="9">
        <f>'04_Train_Analysis'!D8</f>
      </c>
      <c r="E6" s="9">
        <f>'04_Train_Analysis'!E8</f>
      </c>
      <c r="F6" s="9">
        <f>'04_Train_Analysis'!F8</f>
      </c>
      <c r="G6" s="9">
        <f>AVERAGE(C6:F6)</f>
      </c>
      <c r="H6" s="9">
        <f>STDEV.S(C6:F6)</f>
      </c>
      <c r="I6" s="9">
        <f>MAX(C6:F6)-MIN(C6:F6)</f>
      </c>
      <c r="J6" s="7">
        <f>IF((MAX(C6:F6)-MIN(C6:F6))/G6&gt;0.2, "DIVERGENT OUTLIER", "NORMAL")</f>
      </c>
    </row>
    <row r="7" spans="1:10" x14ac:dyDescent="0.25">
      <c r="A7" s="6" t="s">
        <v>402</v>
      </c>
      <c r="B7" s="9" t="s">
        <v>151</v>
      </c>
      <c r="C7" s="9">
        <f>'04_Train_Analysis'!C11</f>
      </c>
      <c r="D7" s="9">
        <f>'04_Train_Analysis'!D11</f>
      </c>
      <c r="E7" s="9">
        <f>'04_Train_Analysis'!E11</f>
      </c>
      <c r="F7" s="9">
        <f>'04_Train_Analysis'!F11</f>
      </c>
      <c r="G7" s="9">
        <f>AVERAGE(C7:F7)</f>
      </c>
      <c r="H7" s="9">
        <f>STDEV.S(C7:F7)</f>
      </c>
      <c r="I7" s="9">
        <f>MAX(C7:F7)-MIN(C7:F7)</f>
      </c>
      <c r="J7" s="7">
        <f>IF((MAX(C7:F7)-MIN(C7:F7))/G7&gt;0.2, "DIVERGENT OUTLIER", "NORMAL")</f>
      </c>
    </row>
    <row r="8" spans="1:10" x14ac:dyDescent="0.25">
      <c r="A8" s="6" t="s">
        <v>403</v>
      </c>
      <c r="B8" s="9" t="s">
        <v>53</v>
      </c>
      <c r="C8" s="9">
        <f>'04_Train_Analysis'!C12</f>
      </c>
      <c r="D8" s="9">
        <f>'04_Train_Analysis'!D12</f>
      </c>
      <c r="E8" s="9">
        <f>'04_Train_Analysis'!E12</f>
      </c>
      <c r="F8" s="9">
        <f>'04_Train_Analysis'!F12</f>
      </c>
      <c r="G8" s="9">
        <f>AVERAGE(C8:F8)</f>
      </c>
      <c r="H8" s="9">
        <f>STDEV.S(C8:F8)</f>
      </c>
      <c r="I8" s="9">
        <f>MAX(C8:F8)-MIN(C8:F8)</f>
      </c>
      <c r="J8" s="7">
        <f>IF((MAX(C8:F8)-MIN(C8:F8))/G8&gt;0.2, "DIVERGENT OUTLIER", "NORMAL")</f>
      </c>
    </row>
    <row r="9" spans="1:10" x14ac:dyDescent="0.25">
      <c r="A9" s="6" t="s">
        <v>404</v>
      </c>
      <c r="B9" s="9" t="s">
        <v>405</v>
      </c>
      <c r="C9" s="9">
        <v>64.5</v>
      </c>
      <c r="D9" s="9">
        <v>66.2</v>
      </c>
      <c r="E9" s="9">
        <v>72.8</v>
      </c>
      <c r="F9" s="9">
        <v>68</v>
      </c>
      <c r="G9" s="9">
        <f>AVERAGE(C9:F9)</f>
      </c>
      <c r="H9" s="9">
        <f>STDEV.S(C9:F9)</f>
      </c>
      <c r="I9" s="9">
        <f>MAX(C9:F9)-MIN(C9:F9)</f>
      </c>
      <c r="J9" s="7">
        <f>IF((MAX(C9:F9)-MIN(C9:F9))/G9&gt;0.15, "ELEVATED DELTA", "NORMAL")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6" customWidth="1"/>
    <col min="4" max="4" width="14" customWidth="1"/>
    <col min="5" max="5" width="44" customWidth="1"/>
  </cols>
  <sheetData>
    <row r="1" ht="28" customHeight="1" spans="1:7" x14ac:dyDescent="0.25">
      <c r="A1" s="1" t="s">
        <v>406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407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408</v>
      </c>
      <c r="B4" s="12" t="s">
        <v>409</v>
      </c>
      <c r="C4" s="12" t="s">
        <v>410</v>
      </c>
      <c r="D4" s="12" t="s">
        <v>49</v>
      </c>
      <c r="E4" s="12" t="s">
        <v>411</v>
      </c>
    </row>
    <row r="5" spans="1:5" x14ac:dyDescent="0.25">
      <c r="A5" s="16" t="s">
        <v>412</v>
      </c>
      <c r="B5" s="17">
        <v>4</v>
      </c>
      <c r="C5" s="18">
        <v>3</v>
      </c>
      <c r="D5" s="17" t="s">
        <v>413</v>
      </c>
      <c r="E5" s="16" t="s">
        <v>414</v>
      </c>
    </row>
    <row r="6" spans="1:5" x14ac:dyDescent="0.25">
      <c r="A6" s="6" t="s">
        <v>415</v>
      </c>
      <c r="B6" s="9">
        <v>19200</v>
      </c>
      <c r="C6" s="9">
        <f>C5*4800</f>
      </c>
      <c r="D6" s="9" t="s">
        <v>135</v>
      </c>
      <c r="E6" s="10" t="s">
        <v>416</v>
      </c>
    </row>
    <row r="7" spans="1:5" x14ac:dyDescent="0.25">
      <c r="A7" s="6" t="s">
        <v>417</v>
      </c>
      <c r="B7" s="9">
        <v>460.8</v>
      </c>
      <c r="C7" s="9">
        <f>'02_Manual_Input'!B5</f>
      </c>
      <c r="D7" s="9" t="s">
        <v>53</v>
      </c>
      <c r="E7" s="10" t="s">
        <v>418</v>
      </c>
    </row>
    <row r="8" spans="1:5" x14ac:dyDescent="0.25">
      <c r="A8" s="6" t="s">
        <v>419</v>
      </c>
      <c r="B8" s="9">
        <v>24</v>
      </c>
      <c r="C8" s="9">
        <f>IF(C6&gt;0, ROUND((C7*1000)/C6, 2), 0)</f>
      </c>
      <c r="D8" s="9" t="s">
        <v>140</v>
      </c>
      <c r="E8" s="10" t="s">
        <v>420</v>
      </c>
    </row>
    <row r="9" spans="1:5" x14ac:dyDescent="0.25">
      <c r="A9" s="6" t="s">
        <v>421</v>
      </c>
      <c r="B9" s="9">
        <v>576</v>
      </c>
      <c r="C9" s="9">
        <f>ROUND((C6*30)/1000, 1)</f>
      </c>
      <c r="D9" s="9" t="s">
        <v>53</v>
      </c>
      <c r="E9" s="10" t="s">
        <v>422</v>
      </c>
    </row>
    <row r="10" spans="1:5" x14ac:dyDescent="0.25">
      <c r="A10" s="6" t="s">
        <v>423</v>
      </c>
      <c r="B10" s="9">
        <v>0</v>
      </c>
      <c r="C10" s="9">
        <f>MAX(0, ROUND(C7-C9, 1))</f>
      </c>
      <c r="D10" s="9" t="s">
        <v>53</v>
      </c>
      <c r="E10" s="10" t="s">
        <v>424</v>
      </c>
    </row>
    <row r="11" spans="1:5" x14ac:dyDescent="0.25">
      <c r="A11" s="6" t="s">
        <v>425</v>
      </c>
      <c r="B11" s="9">
        <v>20</v>
      </c>
      <c r="C11" s="9">
        <f>ROUND('04_Train_Analysis'!C8*(C8/24.0)^1.4, 2)</f>
      </c>
      <c r="D11" s="9" t="s">
        <v>78</v>
      </c>
      <c r="E11" s="10" t="s">
        <v>426</v>
      </c>
    </row>
    <row r="12" spans="1:5" x14ac:dyDescent="0.25">
      <c r="A12" s="6" t="s">
        <v>427</v>
      </c>
      <c r="B12" s="9">
        <v>25</v>
      </c>
      <c r="C12" s="9">
        <f>ROUND(45.0-C11, 1)</f>
      </c>
      <c r="D12" s="9" t="s">
        <v>78</v>
      </c>
      <c r="E12" s="10" t="s">
        <v>428</v>
      </c>
    </row>
    <row r="13" spans="1:5" x14ac:dyDescent="0.25">
      <c r="A13" s="16" t="s">
        <v>429</v>
      </c>
      <c r="B13" s="17">
        <v>18.5</v>
      </c>
      <c r="C13" s="18">
        <v>10</v>
      </c>
      <c r="D13" s="17" t="s">
        <v>57</v>
      </c>
      <c r="E13" s="16" t="s">
        <v>430</v>
      </c>
    </row>
    <row r="14" spans="1:5" x14ac:dyDescent="0.25">
      <c r="A14" s="6" t="s">
        <v>431</v>
      </c>
      <c r="B14" s="9">
        <v>1.042</v>
      </c>
      <c r="C14" s="9">
        <f>ROUND(1.787*EXP(-0.0337*C13+0.000221*C13^2), 4)</f>
      </c>
      <c r="D14" s="9" t="s">
        <v>184</v>
      </c>
      <c r="E14" s="10" t="s">
        <v>432</v>
      </c>
    </row>
    <row r="15" spans="1:5" x14ac:dyDescent="0.25">
      <c r="A15" s="6" t="s">
        <v>433</v>
      </c>
      <c r="B15" s="9">
        <v>1.04</v>
      </c>
      <c r="C15" s="9">
        <f>ROUND(C14/1.002, 3)</f>
      </c>
      <c r="D15" s="9" t="s">
        <v>434</v>
      </c>
      <c r="E15" s="10" t="s">
        <v>435</v>
      </c>
    </row>
    <row r="16" spans="1:5" x14ac:dyDescent="0.25">
      <c r="A16" s="6" t="s">
        <v>436</v>
      </c>
      <c r="B16" s="9">
        <v>20</v>
      </c>
      <c r="C16" s="9">
        <f>ROUND(C11*(C14/'05_Engineering_Calcs'!C10), 2)</f>
      </c>
      <c r="D16" s="9" t="s">
        <v>78</v>
      </c>
      <c r="E16" s="10" t="s">
        <v>437</v>
      </c>
    </row>
    <row r="17" spans="1:5" x14ac:dyDescent="0.25">
      <c r="A17" s="6" t="s">
        <v>438</v>
      </c>
      <c r="B17" s="9">
        <v>2.56</v>
      </c>
      <c r="C17" s="9">
        <f>ROUND((C7*C16)/3600, 3)</f>
      </c>
      <c r="D17" s="9" t="s">
        <v>439</v>
      </c>
      <c r="E17" s="10" t="s">
        <v>440</v>
      </c>
    </row>
    <row r="18" spans="1:5" x14ac:dyDescent="0.25">
      <c r="A18" s="6" t="s">
        <v>441</v>
      </c>
      <c r="B18" s="9">
        <v>3.41</v>
      </c>
      <c r="C18" s="9">
        <f>ROUND(C17/0.75, 3)</f>
      </c>
      <c r="D18" s="9" t="s">
        <v>439</v>
      </c>
      <c r="E18" s="10" t="s">
        <v>442</v>
      </c>
    </row>
    <row r="19" spans="1:5" x14ac:dyDescent="0.25">
      <c r="A19" s="6" t="s">
        <v>443</v>
      </c>
      <c r="B19" s="9">
        <v>0.0074</v>
      </c>
      <c r="C19" s="9">
        <f>ROUND(C18/C7, 5)</f>
      </c>
      <c r="D19" s="9" t="s">
        <v>444</v>
      </c>
      <c r="E19" s="10" t="s">
        <v>445</v>
      </c>
    </row>
    <row r="20" spans="1:5" x14ac:dyDescent="0.25">
      <c r="A20" s="16" t="s">
        <v>446</v>
      </c>
      <c r="B20" s="17">
        <v>38</v>
      </c>
      <c r="C20" s="18">
        <v>50</v>
      </c>
      <c r="D20" s="17" t="s">
        <v>71</v>
      </c>
      <c r="E20" s="16" t="s">
        <v>447</v>
      </c>
    </row>
    <row r="21" spans="1:5" x14ac:dyDescent="0.25">
      <c r="A21" s="6" t="s">
        <v>448</v>
      </c>
      <c r="B21" s="9">
        <v>28080</v>
      </c>
      <c r="C21" s="9">
        <f>'07_Biology'!B11</f>
      </c>
      <c r="D21" s="9" t="s">
        <v>449</v>
      </c>
      <c r="E21" s="10" t="s">
        <v>450</v>
      </c>
    </row>
    <row r="22" spans="1:5" x14ac:dyDescent="0.25">
      <c r="A22" s="6" t="s">
        <v>451</v>
      </c>
      <c r="B22" s="9">
        <v>349.6</v>
      </c>
      <c r="C22" s="9">
        <f>ROUND((C20*'07_Biology'!B6)/1000, 1)</f>
      </c>
      <c r="D22" s="9" t="s">
        <v>452</v>
      </c>
      <c r="E22" s="10" t="s">
        <v>453</v>
      </c>
    </row>
    <row r="23" spans="1:5" x14ac:dyDescent="0.25">
      <c r="A23" s="6" t="s">
        <v>454</v>
      </c>
      <c r="B23" s="9">
        <v>80.3</v>
      </c>
      <c r="C23" s="9">
        <f>ROUND(C21/C22, 1)</f>
      </c>
      <c r="D23" s="9" t="s">
        <v>162</v>
      </c>
      <c r="E23" s="10" t="s">
        <v>455</v>
      </c>
    </row>
    <row r="24" spans="1:5" x14ac:dyDescent="0.25">
      <c r="A24" s="6" t="s">
        <v>456</v>
      </c>
      <c r="B24" s="9">
        <v>80.3</v>
      </c>
      <c r="C24" s="9">
        <f>'08_WAS_SRT'!B9</f>
      </c>
      <c r="D24" s="9" t="s">
        <v>162</v>
      </c>
      <c r="E24" s="10" t="s">
        <v>457</v>
      </c>
    </row>
    <row r="25" spans="1:5" x14ac:dyDescent="0.25">
      <c r="A25" s="6" t="s">
        <v>458</v>
      </c>
      <c r="B25" s="9">
        <v>0</v>
      </c>
      <c r="C25" s="9">
        <f>ROUND(C23-C24, 1)</f>
      </c>
      <c r="D25" s="9" t="s">
        <v>162</v>
      </c>
      <c r="E25" s="10" t="s">
        <v>459</v>
      </c>
    </row>
    <row r="26" spans="1:5" x14ac:dyDescent="0.25">
      <c r="A26" s="6" t="s">
        <v>460</v>
      </c>
      <c r="B26" s="9" t="s">
        <v>461</v>
      </c>
      <c r="C26" s="9">
        <f>IF(C23&gt;=12, "SAFE (&gt;12d)", "NITRIFICATION WASHOUT RISK")</f>
      </c>
      <c r="D26" s="9" t="s">
        <v>462</v>
      </c>
      <c r="E26" s="10" t="s">
        <v>463</v>
      </c>
    </row>
    <row r="27" spans="1:5" x14ac:dyDescent="0.25">
      <c r="A27" s="16" t="s">
        <v>464</v>
      </c>
      <c r="B27" s="17" t="s">
        <v>35</v>
      </c>
      <c r="C27" s="17">
        <f>IF(C8&gt;30, "FLUX OVER LIMIT (&gt;30)", "NORMAL")</f>
      </c>
      <c r="D27" s="17" t="s">
        <v>465</v>
      </c>
      <c r="E27" s="16" t="s">
        <v>466</v>
      </c>
    </row>
    <row r="28" spans="1:5" x14ac:dyDescent="0.25">
      <c r="A28" s="16" t="s">
        <v>467</v>
      </c>
      <c r="B28" s="17" t="s">
        <v>35</v>
      </c>
      <c r="C28" s="17">
        <f>IF(C16&gt;=45, "CRITICAL TRIP RISK", IF(C16&gt;=35, "HIGH VACUUM WARNING", "NORMAL"))</f>
      </c>
      <c r="D28" s="17" t="s">
        <v>465</v>
      </c>
      <c r="E28" s="16" t="s">
        <v>468</v>
      </c>
    </row>
    <row r="29" spans="1:5" x14ac:dyDescent="0.25">
      <c r="A29" s="19" t="s">
        <v>469</v>
      </c>
      <c r="B29" s="20" t="s">
        <v>470</v>
      </c>
      <c r="C29" s="20">
        <f>IF(OR(C8&gt;30, C16&gt;=45), "CURTAIL INFLUENT FLOW &amp; THROTTLE FLUX", IF(OR(C8&gt;26, C16&gt;=35), "ADVANCE SCHEDULED CIP / BOOST AIR SCOUR", "NOMINAL PROCESS ENVELOPE"))</f>
      </c>
      <c r="D29" s="20" t="s">
        <v>471</v>
      </c>
      <c r="E29" s="19" t="s">
        <v>472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20" customWidth="1"/>
    <col min="6" max="6" width="28" customWidth="1"/>
  </cols>
  <sheetData>
    <row r="1" ht="28" customHeight="1" spans="1:7" x14ac:dyDescent="0.25">
      <c r="A1" s="1" t="s">
        <v>473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474</v>
      </c>
      <c r="B2" s="2"/>
      <c r="C2" s="2"/>
      <c r="D2" s="2"/>
      <c r="E2" s="2"/>
      <c r="F2" s="2"/>
      <c r="G2" s="2"/>
    </row>
    <row r="3" ht="10" customHeight="1" x14ac:dyDescent="0.25"/>
    <row r="4" spans="1:6" s="3" customFormat="1" x14ac:dyDescent="0.25">
      <c r="A4" s="4" t="s">
        <v>475</v>
      </c>
      <c r="B4" s="4" t="s">
        <v>476</v>
      </c>
      <c r="C4" s="4" t="s">
        <v>477</v>
      </c>
      <c r="D4" s="4" t="s">
        <v>478</v>
      </c>
      <c r="E4" s="4" t="s">
        <v>479</v>
      </c>
      <c r="F4" s="4" t="s">
        <v>480</v>
      </c>
    </row>
    <row r="5" spans="1:6" x14ac:dyDescent="0.25">
      <c r="A5" s="6" t="s">
        <v>481</v>
      </c>
      <c r="B5" s="9">
        <f>'04_Train_Analysis'!C8</f>
      </c>
      <c r="C5" s="9">
        <f>'04_Train_Analysis'!D8</f>
      </c>
      <c r="D5" s="9">
        <f>'04_Train_Analysis'!E8</f>
      </c>
      <c r="E5" s="9">
        <f>'04_Train_Analysis'!F8</f>
      </c>
      <c r="F5" s="10" t="s">
        <v>482</v>
      </c>
    </row>
    <row r="6" spans="1:6" x14ac:dyDescent="0.25">
      <c r="A6" s="6" t="s">
        <v>483</v>
      </c>
      <c r="B6" s="9">
        <f>ROUND(B5 + ('04_Train_Analysis'!C10*6), 2)</f>
      </c>
      <c r="C6" s="9">
        <f>ROUND(C5 + ('04_Train_Analysis'!D10*6), 2)</f>
      </c>
      <c r="D6" s="9">
        <f>ROUND(D5 + ('04_Train_Analysis'!E10*6), 2)</f>
      </c>
      <c r="E6" s="9">
        <f>ROUND(E5 + ('04_Train_Analysis'!F10*6), 2)</f>
      </c>
      <c r="F6" s="10" t="s">
        <v>484</v>
      </c>
    </row>
    <row r="7" spans="1:6" x14ac:dyDescent="0.25">
      <c r="A7" s="6" t="s">
        <v>485</v>
      </c>
      <c r="B7" s="9">
        <f>ROUND(B5 + ('04_Train_Analysis'!C10*12), 2)</f>
      </c>
      <c r="C7" s="9">
        <f>ROUND(C5 + ('04_Train_Analysis'!D10*12), 2)</f>
      </c>
      <c r="D7" s="9">
        <f>ROUND(D5 + ('04_Train_Analysis'!E10*12), 2)</f>
      </c>
      <c r="E7" s="9">
        <f>ROUND(E5 + ('04_Train_Analysis'!F10*12), 2)</f>
      </c>
      <c r="F7" s="10" t="s">
        <v>484</v>
      </c>
    </row>
    <row r="8" spans="1:6" x14ac:dyDescent="0.25">
      <c r="A8" s="6" t="s">
        <v>486</v>
      </c>
      <c r="B8" s="9">
        <f>ROUND(B5 + ('04_Train_Analysis'!C10*24), 2)</f>
      </c>
      <c r="C8" s="9">
        <f>ROUND(C5 + ('04_Train_Analysis'!D10*24), 2)</f>
      </c>
      <c r="D8" s="9">
        <f>ROUND(D5 + ('04_Train_Analysis'!E10*24), 2)</f>
      </c>
      <c r="E8" s="9">
        <f>ROUND(E5 + ('04_Train_Analysis'!F10*24), 2)</f>
      </c>
      <c r="F8" s="10" t="s">
        <v>484</v>
      </c>
    </row>
    <row r="9" spans="1:6" x14ac:dyDescent="0.25">
      <c r="A9" s="6" t="s">
        <v>487</v>
      </c>
      <c r="B9" s="9">
        <f>ROUND(B5 + ('04_Train_Analysis'!C10*48), 2)</f>
      </c>
      <c r="C9" s="9">
        <f>ROUND(C5 + ('04_Train_Analysis'!D10*48), 2)</f>
      </c>
      <c r="D9" s="9">
        <f>ROUND(D5 + ('04_Train_Analysis'!E10*48), 2)</f>
      </c>
      <c r="E9" s="9">
        <f>ROUND(E5 + ('04_Train_Analysis'!F10*48), 2)</f>
      </c>
      <c r="F9" s="10" t="s">
        <v>484</v>
      </c>
    </row>
    <row r="10" spans="1:6" x14ac:dyDescent="0.25">
      <c r="A10" s="6" t="s">
        <v>488</v>
      </c>
      <c r="B10" s="9">
        <f>ROUND(B5 + ('04_Train_Analysis'!C10*72), 2)</f>
      </c>
      <c r="C10" s="9">
        <f>ROUND(C5 + ('04_Train_Analysis'!D10*72), 2)</f>
      </c>
      <c r="D10" s="9">
        <f>ROUND(D5 + ('04_Train_Analysis'!E10*72), 2)</f>
      </c>
      <c r="E10" s="9">
        <f>ROUND(E5 + ('04_Train_Analysis'!F10*72), 2)</f>
      </c>
      <c r="F10" s="10" t="s">
        <v>484</v>
      </c>
    </row>
    <row r="11" spans="1:6" x14ac:dyDescent="0.25">
      <c r="A11" s="6" t="s">
        <v>489</v>
      </c>
      <c r="B11" s="9">
        <f>ROUND(B5 + ('04_Train_Analysis'!C10*168), 2)</f>
      </c>
      <c r="C11" s="9">
        <f>ROUND(C5 + ('04_Train_Analysis'!D10*168), 2)</f>
      </c>
      <c r="D11" s="9">
        <f>ROUND(D5 + ('04_Train_Analysis'!E10*168), 2)</f>
      </c>
      <c r="E11" s="9">
        <f>ROUND(E5 + ('04_Train_Analysis'!F10*168), 2)</f>
      </c>
      <c r="F11" s="10" t="s">
        <v>484</v>
      </c>
    </row>
    <row r="13" spans="1:6" s="3" customFormat="1" x14ac:dyDescent="0.25">
      <c r="A13" s="4" t="s">
        <v>490</v>
      </c>
      <c r="B13" s="4" t="s">
        <v>476</v>
      </c>
      <c r="C13" s="4" t="s">
        <v>477</v>
      </c>
      <c r="D13" s="4" t="s">
        <v>478</v>
      </c>
      <c r="E13" s="4" t="s">
        <v>479</v>
      </c>
      <c r="F13" s="4" t="s">
        <v>491</v>
      </c>
    </row>
    <row r="14" spans="1:6" x14ac:dyDescent="0.25">
      <c r="A14" s="6" t="s">
        <v>492</v>
      </c>
      <c r="B14" s="9">
        <f>ROUND(B5 * EXP(('04_Train_Analysis'!C10/B5)*6), 2)</f>
      </c>
      <c r="C14" s="9">
        <f>ROUND(C5 * EXP(('04_Train_Analysis'!D10/C5)*6), 2)</f>
      </c>
      <c r="D14" s="9">
        <f>ROUND(D5 * EXP(('04_Train_Analysis'!E10/D5)*6), 2)</f>
      </c>
      <c r="E14" s="9">
        <f>ROUND(E5 * EXP(('04_Train_Analysis'!F10/E5)*6), 2)</f>
      </c>
      <c r="F14" s="10" t="s">
        <v>493</v>
      </c>
    </row>
    <row r="15" spans="1:6" x14ac:dyDescent="0.25">
      <c r="A15" s="6" t="s">
        <v>494</v>
      </c>
      <c r="B15" s="9">
        <f>ROUND(B5 * EXP(('04_Train_Analysis'!C10/B5)*12), 2)</f>
      </c>
      <c r="C15" s="9">
        <f>ROUND(C5 * EXP(('04_Train_Analysis'!D10/C5)*12), 2)</f>
      </c>
      <c r="D15" s="9">
        <f>ROUND(D5 * EXP(('04_Train_Analysis'!E10/D5)*12), 2)</f>
      </c>
      <c r="E15" s="9">
        <f>ROUND(E5 * EXP(('04_Train_Analysis'!F10/E5)*12), 2)</f>
      </c>
      <c r="F15" s="10" t="s">
        <v>493</v>
      </c>
    </row>
    <row r="16" spans="1:6" x14ac:dyDescent="0.25">
      <c r="A16" s="6" t="s">
        <v>495</v>
      </c>
      <c r="B16" s="9">
        <f>ROUND(B5 * EXP(('04_Train_Analysis'!C10/B5)*24), 2)</f>
      </c>
      <c r="C16" s="9">
        <f>ROUND(C5 * EXP(('04_Train_Analysis'!D10/C5)*24), 2)</f>
      </c>
      <c r="D16" s="9">
        <f>ROUND(D5 * EXP(('04_Train_Analysis'!E10/D5)*24), 2)</f>
      </c>
      <c r="E16" s="9">
        <f>ROUND(E5 * EXP(('04_Train_Analysis'!F10/E5)*24), 2)</f>
      </c>
      <c r="F16" s="10" t="s">
        <v>493</v>
      </c>
    </row>
    <row r="17" spans="1:6" x14ac:dyDescent="0.25">
      <c r="A17" s="6" t="s">
        <v>496</v>
      </c>
      <c r="B17" s="9">
        <f>ROUND(B5 * EXP(('04_Train_Analysis'!C10/B5)*48), 2)</f>
      </c>
      <c r="C17" s="9">
        <f>ROUND(C5 * EXP(('04_Train_Analysis'!D10/C5)*48), 2)</f>
      </c>
      <c r="D17" s="9">
        <f>ROUND(D5 * EXP(('04_Train_Analysis'!E10/D5)*48), 2)</f>
      </c>
      <c r="E17" s="9">
        <f>ROUND(E5 * EXP(('04_Train_Analysis'!F10/E5)*48), 2)</f>
      </c>
      <c r="F17" s="10" t="s">
        <v>493</v>
      </c>
    </row>
    <row r="19" spans="1:6" s="3" customFormat="1" x14ac:dyDescent="0.25">
      <c r="A19" s="4" t="s">
        <v>497</v>
      </c>
      <c r="B19" s="4" t="s">
        <v>498</v>
      </c>
      <c r="C19" s="4" t="s">
        <v>499</v>
      </c>
      <c r="D19" s="4" t="s">
        <v>500</v>
      </c>
      <c r="E19" s="4" t="s">
        <v>501</v>
      </c>
      <c r="F19" s="4" t="s">
        <v>502</v>
      </c>
    </row>
    <row r="20" spans="1:6" x14ac:dyDescent="0.25">
      <c r="A20" s="6" t="s">
        <v>503</v>
      </c>
      <c r="B20" s="9">
        <f>ROUND(MAX(0, (45-B5)/MAX(0.001, '04_Train_Analysis'!C10)), 1)</f>
      </c>
      <c r="C20" s="9">
        <f>ROUND(MAX(0, (45-C5)/MAX(0.001, '04_Train_Analysis'!D10)), 1)</f>
      </c>
      <c r="D20" s="9">
        <f>ROUND(MAX(0, (45-D5)/MAX(0.001, '04_Train_Analysis'!E10)), 1)</f>
      </c>
      <c r="E20" s="9">
        <f>ROUND(MAX(0, (45-E5)/MAX(0.001, '04_Train_Analysis'!F10)), 1)</f>
      </c>
      <c r="F20" s="10" t="s">
        <v>504</v>
      </c>
    </row>
    <row r="21" spans="1:6" x14ac:dyDescent="0.25">
      <c r="A21" s="6" t="s">
        <v>505</v>
      </c>
      <c r="B21" s="9">
        <f>ROUND(MAX(0, LN(45/B5)/MAX(0.0001, '04_Train_Analysis'!C10/B5)), 1)</f>
      </c>
      <c r="C21" s="9">
        <f>ROUND(MAX(0, LN(45/C5)/MAX(0.0001, '04_Train_Analysis'!D10/C5)), 1)</f>
      </c>
      <c r="D21" s="9">
        <f>ROUND(MAX(0, LN(45/D5)/MAX(0.0001, '04_Train_Analysis'!E10/D5)), 1)</f>
      </c>
      <c r="E21" s="9">
        <f>ROUND(MAX(0, LN(45/E5)/MAX(0.0001, '04_Train_Analysis'!F10/E5)), 1)</f>
      </c>
      <c r="F21" s="10" t="s">
        <v>506</v>
      </c>
    </row>
    <row r="22" spans="1:6" x14ac:dyDescent="0.25">
      <c r="A22" s="6" t="s">
        <v>507</v>
      </c>
      <c r="B22" s="9">
        <f>ROUND(MAX(0, (55-B5)/MAX(0.001, '04_Train_Analysis'!C10)), 1)</f>
      </c>
      <c r="C22" s="9">
        <f>ROUND(MAX(0, (55-C5)/MAX(0.001, '04_Train_Analysis'!D10)), 1)</f>
      </c>
      <c r="D22" s="9">
        <f>ROUND(MAX(0, (55-D5)/MAX(0.001, '04_Train_Analysis'!E10)), 1)</f>
      </c>
      <c r="E22" s="9">
        <f>ROUND(MAX(0, (55-E5)/MAX(0.001, '04_Train_Analysis'!F10)), 1)</f>
      </c>
      <c r="F22" s="10" t="s">
        <v>508</v>
      </c>
    </row>
    <row r="23" spans="1:6" x14ac:dyDescent="0.25">
      <c r="A23" s="6" t="s">
        <v>509</v>
      </c>
      <c r="B23" s="9">
        <f>IF(B20&lt;=12, "CRITICAL", IF(B20&lt;=36, "WARNING", "NORMAL"))</f>
      </c>
      <c r="C23" s="9">
        <f>IF(C20&lt;=12, "CRITICAL", IF(C20&lt;=36, "WARNING", "NORMAL"))</f>
      </c>
      <c r="D23" s="9">
        <f>IF(D20&lt;=12, "CRITICAL", IF(D20&lt;=36, "WARNING", "NORMAL"))</f>
      </c>
      <c r="E23" s="9">
        <f>IF(E20&lt;=12, "CRITICAL", IF(E20&lt;=36, "WARNING", "NORMAL"))</f>
      </c>
      <c r="F23" s="10" t="s">
        <v>510</v>
      </c>
    </row>
    <row r="25" spans="1:6" s="3" customFormat="1" x14ac:dyDescent="0.25">
      <c r="A25" s="4" t="s">
        <v>511</v>
      </c>
      <c r="B25" s="4" t="s">
        <v>512</v>
      </c>
      <c r="C25" s="4" t="s">
        <v>513</v>
      </c>
      <c r="D25" s="4" t="s">
        <v>514</v>
      </c>
      <c r="E25" s="4" t="s">
        <v>49</v>
      </c>
      <c r="F25" s="4" t="s">
        <v>515</v>
      </c>
    </row>
    <row r="26" spans="1:6" x14ac:dyDescent="0.25">
      <c r="A26" s="6" t="s">
        <v>516</v>
      </c>
      <c r="B26" s="6" t="s">
        <v>517</v>
      </c>
      <c r="C26" s="9">
        <v>1497000000000</v>
      </c>
      <c r="D26" s="9">
        <v>1497000000000</v>
      </c>
      <c r="E26" s="9" t="s">
        <v>192</v>
      </c>
      <c r="F26" s="10" t="s">
        <v>518</v>
      </c>
    </row>
    <row r="27" spans="1:6" x14ac:dyDescent="0.25">
      <c r="A27" s="6" t="s">
        <v>519</v>
      </c>
      <c r="B27" s="6" t="s">
        <v>520</v>
      </c>
      <c r="C27" s="9">
        <v>385000000000</v>
      </c>
      <c r="D27" s="9">
        <v>385000000000</v>
      </c>
      <c r="E27" s="9" t="s">
        <v>521</v>
      </c>
      <c r="F27" s="10" t="s">
        <v>522</v>
      </c>
    </row>
    <row r="28" spans="1:6" x14ac:dyDescent="0.25">
      <c r="A28" s="6" t="s">
        <v>523</v>
      </c>
      <c r="B28" s="6" t="s">
        <v>524</v>
      </c>
      <c r="C28" s="9">
        <v>1.4</v>
      </c>
      <c r="D28" s="9">
        <v>1.4</v>
      </c>
      <c r="E28" s="9" t="s">
        <v>188</v>
      </c>
      <c r="F28" s="10" t="s">
        <v>525</v>
      </c>
    </row>
    <row r="29" spans="1:6" x14ac:dyDescent="0.25">
      <c r="A29" s="6" t="s">
        <v>526</v>
      </c>
      <c r="B29" s="6" t="s">
        <v>527</v>
      </c>
      <c r="C29" s="9">
        <v>0.0085</v>
      </c>
      <c r="D29" s="9">
        <v>0.0085</v>
      </c>
      <c r="E29" s="9" t="s">
        <v>528</v>
      </c>
      <c r="F29" s="10" t="s">
        <v>529</v>
      </c>
    </row>
    <row r="30" spans="1:6" x14ac:dyDescent="0.25">
      <c r="A30" s="6" t="s">
        <v>530</v>
      </c>
      <c r="B30" s="6" t="s">
        <v>531</v>
      </c>
      <c r="C30" s="9">
        <v>1.025</v>
      </c>
      <c r="D30" s="9">
        <v>1.025</v>
      </c>
      <c r="E30" s="9" t="s">
        <v>188</v>
      </c>
      <c r="F30" s="10" t="s">
        <v>532</v>
      </c>
    </row>
    <row r="31" spans="1:6" x14ac:dyDescent="0.25">
      <c r="A31" s="6" t="s">
        <v>533</v>
      </c>
      <c r="B31" s="6" t="s">
        <v>534</v>
      </c>
      <c r="C31" s="9">
        <v>0.95</v>
      </c>
      <c r="D31" s="9">
        <v>0.965</v>
      </c>
      <c r="E31" s="9" t="s">
        <v>188</v>
      </c>
      <c r="F31" s="10" t="s">
        <v>535</v>
      </c>
    </row>
    <row r="32" spans="1:6" x14ac:dyDescent="0.25">
      <c r="A32" s="6" t="s">
        <v>536</v>
      </c>
      <c r="B32" s="6" t="s">
        <v>537</v>
      </c>
      <c r="C32" s="9">
        <v>0.5</v>
      </c>
      <c r="D32" s="9">
        <v>0.35</v>
      </c>
      <c r="E32" s="9" t="s">
        <v>78</v>
      </c>
      <c r="F32" s="10" t="s">
        <v>538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8" customWidth="1"/>
    <col min="4" max="4" width="24" customWidth="1"/>
    <col min="5" max="5" width="20" customWidth="1"/>
  </cols>
  <sheetData>
    <row r="1" ht="28" customHeight="1" spans="1:7" x14ac:dyDescent="0.25">
      <c r="A1" s="1" t="s">
        <v>539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540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541</v>
      </c>
      <c r="B4" s="12" t="s">
        <v>542</v>
      </c>
      <c r="C4" s="12" t="s">
        <v>543</v>
      </c>
      <c r="D4" s="12" t="s">
        <v>544</v>
      </c>
      <c r="E4" s="12" t="s">
        <v>545</v>
      </c>
    </row>
    <row r="5" spans="1:5" x14ac:dyDescent="0.25">
      <c r="A5" s="6" t="s">
        <v>546</v>
      </c>
      <c r="B5" s="10" t="s">
        <v>547</v>
      </c>
      <c r="C5" s="10">
        <v>1</v>
      </c>
      <c r="D5" s="10" t="s">
        <v>548</v>
      </c>
      <c r="E5" s="10" t="s">
        <v>549</v>
      </c>
    </row>
    <row r="6" spans="1:5" x14ac:dyDescent="0.25">
      <c r="A6" s="6" t="s">
        <v>550</v>
      </c>
      <c r="B6" s="10" t="s">
        <v>551</v>
      </c>
      <c r="C6" s="10">
        <v>1</v>
      </c>
      <c r="D6" s="10" t="s">
        <v>548</v>
      </c>
      <c r="E6" s="10" t="s">
        <v>552</v>
      </c>
    </row>
    <row r="7" spans="1:5" x14ac:dyDescent="0.25">
      <c r="A7" s="6" t="s">
        <v>553</v>
      </c>
      <c r="B7" s="10" t="s">
        <v>554</v>
      </c>
      <c r="C7" s="10">
        <v>0.94</v>
      </c>
      <c r="D7" s="10" t="s">
        <v>548</v>
      </c>
      <c r="E7" s="10" t="s">
        <v>555</v>
      </c>
    </row>
    <row r="8" spans="1:5" x14ac:dyDescent="0.25">
      <c r="A8" s="6" t="s">
        <v>556</v>
      </c>
      <c r="B8" s="10" t="s">
        <v>557</v>
      </c>
      <c r="C8" s="10">
        <v>0.91</v>
      </c>
      <c r="D8" s="10" t="s">
        <v>548</v>
      </c>
      <c r="E8" s="10" t="s">
        <v>558</v>
      </c>
    </row>
    <row r="9" spans="1:5" x14ac:dyDescent="0.25">
      <c r="A9" s="6" t="s">
        <v>559</v>
      </c>
      <c r="B9" s="10" t="s">
        <v>560</v>
      </c>
      <c r="C9" s="10">
        <v>0.96</v>
      </c>
      <c r="D9" s="10" t="s">
        <v>548</v>
      </c>
      <c r="E9" s="10" t="s">
        <v>561</v>
      </c>
    </row>
    <row r="10" spans="1:5" x14ac:dyDescent="0.25">
      <c r="A10" s="6" t="s">
        <v>562</v>
      </c>
      <c r="B10" s="10" t="s">
        <v>563</v>
      </c>
      <c r="C10" s="10">
        <v>0.88</v>
      </c>
      <c r="D10" s="10" t="s">
        <v>548</v>
      </c>
      <c r="E10" s="10" t="s">
        <v>564</v>
      </c>
    </row>
    <row r="11" spans="1:5" x14ac:dyDescent="0.25">
      <c r="A11" s="6" t="s">
        <v>565</v>
      </c>
      <c r="B11" s="10" t="s">
        <v>566</v>
      </c>
      <c r="C11" s="10">
        <v>0.85</v>
      </c>
      <c r="D11" s="10" t="s">
        <v>548</v>
      </c>
      <c r="E11" s="10" t="s">
        <v>567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4" customWidth="1"/>
    <col min="6" max="6" width="22" customWidth="1"/>
  </cols>
  <sheetData>
    <row r="1" ht="28" customHeight="1" spans="1:7" x14ac:dyDescent="0.25">
      <c r="A1" s="1" t="s">
        <v>568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569</v>
      </c>
      <c r="B2" s="2"/>
      <c r="C2" s="2"/>
      <c r="D2" s="2"/>
      <c r="E2" s="2"/>
      <c r="F2" s="2"/>
      <c r="G2" s="2"/>
    </row>
    <row r="3" ht="10" customHeight="1" x14ac:dyDescent="0.25"/>
    <row r="4" spans="1:6" s="3" customFormat="1" x14ac:dyDescent="0.25">
      <c r="A4" s="4" t="s">
        <v>570</v>
      </c>
      <c r="B4" s="4" t="s">
        <v>571</v>
      </c>
      <c r="C4" s="4" t="s">
        <v>572</v>
      </c>
      <c r="D4" s="4" t="s">
        <v>573</v>
      </c>
      <c r="E4" s="4" t="s">
        <v>574</v>
      </c>
      <c r="F4" s="4" t="s">
        <v>575</v>
      </c>
    </row>
    <row r="5" spans="1:6" x14ac:dyDescent="0.25">
      <c r="A5" s="6" t="s">
        <v>576</v>
      </c>
      <c r="B5" s="9">
        <v>1438</v>
      </c>
      <c r="C5" s="9">
        <v>2</v>
      </c>
      <c r="D5" s="9">
        <v>0</v>
      </c>
      <c r="E5" s="9" t="s">
        <v>577</v>
      </c>
      <c r="F5" s="10" t="s">
        <v>389</v>
      </c>
    </row>
    <row r="6" spans="1:6" x14ac:dyDescent="0.25">
      <c r="A6" s="6" t="s">
        <v>578</v>
      </c>
      <c r="B6" s="9">
        <v>1440</v>
      </c>
      <c r="C6" s="9">
        <v>0</v>
      </c>
      <c r="D6" s="9">
        <v>0</v>
      </c>
      <c r="E6" s="9" t="s">
        <v>579</v>
      </c>
      <c r="F6" s="10" t="s">
        <v>389</v>
      </c>
    </row>
    <row r="7" spans="1:6" x14ac:dyDescent="0.25">
      <c r="A7" s="6" t="s">
        <v>580</v>
      </c>
      <c r="B7" s="9">
        <v>1439</v>
      </c>
      <c r="C7" s="9">
        <v>1</v>
      </c>
      <c r="D7" s="9">
        <v>0</v>
      </c>
      <c r="E7" s="9" t="s">
        <v>581</v>
      </c>
      <c r="F7" s="10" t="s">
        <v>389</v>
      </c>
    </row>
    <row r="8" spans="1:6" x14ac:dyDescent="0.25">
      <c r="A8" s="6" t="s">
        <v>582</v>
      </c>
      <c r="B8" s="9">
        <v>1432</v>
      </c>
      <c r="C8" s="9">
        <v>8</v>
      </c>
      <c r="D8" s="9">
        <v>0</v>
      </c>
      <c r="E8" s="9" t="s">
        <v>583</v>
      </c>
      <c r="F8" s="10" t="s">
        <v>584</v>
      </c>
    </row>
    <row r="9" spans="1:6" x14ac:dyDescent="0.25">
      <c r="A9" s="6" t="s">
        <v>585</v>
      </c>
      <c r="B9" s="9">
        <v>1440</v>
      </c>
      <c r="C9" s="9">
        <v>0</v>
      </c>
      <c r="D9" s="9">
        <v>0</v>
      </c>
      <c r="E9" s="9" t="s">
        <v>579</v>
      </c>
      <c r="F9" s="10" t="s">
        <v>389</v>
      </c>
    </row>
    <row r="10" spans="1:6" x14ac:dyDescent="0.25">
      <c r="A10" s="6" t="s">
        <v>586</v>
      </c>
      <c r="B10" s="9">
        <v>1440</v>
      </c>
      <c r="C10" s="9">
        <v>0</v>
      </c>
      <c r="D10" s="9">
        <v>0</v>
      </c>
      <c r="E10" s="9" t="s">
        <v>579</v>
      </c>
      <c r="F10" s="10" t="s">
        <v>389</v>
      </c>
    </row>
    <row r="11" spans="1:6" x14ac:dyDescent="0.25">
      <c r="A11" s="6" t="s">
        <v>587</v>
      </c>
      <c r="B11" s="9">
        <v>1436</v>
      </c>
      <c r="C11" s="9">
        <v>4</v>
      </c>
      <c r="D11" s="9">
        <v>0</v>
      </c>
      <c r="E11" s="9" t="s">
        <v>588</v>
      </c>
      <c r="F11" s="10" t="s">
        <v>389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12" customWidth="1"/>
    <col min="4" max="4" width="35" customWidth="1"/>
  </cols>
  <sheetData>
    <row r="1" ht="28" customHeight="1" spans="1:7" x14ac:dyDescent="0.25">
      <c r="A1" s="1" t="s">
        <v>589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590</v>
      </c>
      <c r="B2" s="2"/>
      <c r="C2" s="2"/>
      <c r="D2" s="2"/>
      <c r="E2" s="2"/>
      <c r="F2" s="2"/>
      <c r="G2" s="2"/>
    </row>
    <row r="3" ht="10" customHeight="1" x14ac:dyDescent="0.25"/>
    <row r="4" spans="1:4" s="3" customFormat="1" x14ac:dyDescent="0.25">
      <c r="A4" s="12" t="s">
        <v>591</v>
      </c>
      <c r="B4" s="12" t="s">
        <v>229</v>
      </c>
      <c r="C4" s="12" t="s">
        <v>49</v>
      </c>
      <c r="D4" s="12" t="s">
        <v>592</v>
      </c>
    </row>
    <row r="5" spans="1:4" x14ac:dyDescent="0.25">
      <c r="A5" s="6" t="s">
        <v>593</v>
      </c>
      <c r="B5" s="10">
        <v>50</v>
      </c>
      <c r="C5" s="10" t="s">
        <v>135</v>
      </c>
      <c r="D5" s="10" t="s">
        <v>594</v>
      </c>
    </row>
    <row r="6" spans="1:4" x14ac:dyDescent="0.25">
      <c r="A6" s="6" t="s">
        <v>595</v>
      </c>
      <c r="B6" s="10">
        <v>24</v>
      </c>
      <c r="C6" s="10" t="s">
        <v>596</v>
      </c>
      <c r="D6" s="10" t="s">
        <v>597</v>
      </c>
    </row>
    <row r="7" spans="1:4" x14ac:dyDescent="0.25">
      <c r="A7" s="6" t="s">
        <v>598</v>
      </c>
      <c r="B7" s="10">
        <v>4</v>
      </c>
      <c r="C7" s="10" t="s">
        <v>599</v>
      </c>
      <c r="D7" s="10" t="s">
        <v>600</v>
      </c>
    </row>
    <row r="8" spans="1:4" x14ac:dyDescent="0.25">
      <c r="A8" s="6" t="s">
        <v>601</v>
      </c>
      <c r="B8" s="10">
        <v>4</v>
      </c>
      <c r="C8" s="10" t="s">
        <v>413</v>
      </c>
      <c r="D8" s="10" t="s">
        <v>602</v>
      </c>
    </row>
    <row r="9" spans="1:4" x14ac:dyDescent="0.25">
      <c r="A9" s="6" t="s">
        <v>603</v>
      </c>
      <c r="B9" s="10">
        <v>20</v>
      </c>
      <c r="C9" s="10" t="s">
        <v>57</v>
      </c>
      <c r="D9" s="10" t="s">
        <v>604</v>
      </c>
    </row>
    <row r="10" spans="1:4" x14ac:dyDescent="0.25">
      <c r="A10" s="6" t="s">
        <v>605</v>
      </c>
      <c r="B10" s="10">
        <v>1.025</v>
      </c>
      <c r="C10" s="10" t="s">
        <v>188</v>
      </c>
      <c r="D10" s="10" t="s">
        <v>606</v>
      </c>
    </row>
    <row r="11" spans="1:4" x14ac:dyDescent="0.25">
      <c r="A11" s="6" t="s">
        <v>607</v>
      </c>
      <c r="B11" s="10">
        <v>1000</v>
      </c>
      <c r="C11" s="10" t="s">
        <v>608</v>
      </c>
      <c r="D11" s="10" t="s">
        <v>609</v>
      </c>
    </row>
    <row r="12" spans="1:4" x14ac:dyDescent="0.25">
      <c r="A12" s="6" t="s">
        <v>610</v>
      </c>
      <c r="B12" s="10">
        <v>520000000000</v>
      </c>
      <c r="C12" s="10" t="s">
        <v>192</v>
      </c>
      <c r="D12" s="10" t="s">
        <v>611</v>
      </c>
    </row>
    <row r="13" spans="1:4" x14ac:dyDescent="0.25">
      <c r="A13" s="6" t="s">
        <v>612</v>
      </c>
      <c r="B13" s="10">
        <v>60</v>
      </c>
      <c r="C13" s="10" t="s">
        <v>78</v>
      </c>
      <c r="D13" s="10" t="s">
        <v>613</v>
      </c>
    </row>
    <row r="14" spans="1:4" x14ac:dyDescent="0.25">
      <c r="A14" s="6" t="s">
        <v>614</v>
      </c>
      <c r="B14" s="10">
        <v>24</v>
      </c>
      <c r="C14" s="10" t="s">
        <v>140</v>
      </c>
      <c r="D14" s="10" t="s">
        <v>615</v>
      </c>
    </row>
    <row r="15" spans="1:4" x14ac:dyDescent="0.25">
      <c r="A15" s="6" t="s">
        <v>616</v>
      </c>
      <c r="B15" s="10">
        <v>20</v>
      </c>
      <c r="C15" s="10" t="s">
        <v>162</v>
      </c>
      <c r="D15" s="10" t="s">
        <v>617</v>
      </c>
    </row>
    <row r="16" spans="1:4" x14ac:dyDescent="0.25">
      <c r="A16" s="6" t="s">
        <v>618</v>
      </c>
      <c r="B16" s="10">
        <v>0.35</v>
      </c>
      <c r="C16" s="10" t="s">
        <v>619</v>
      </c>
      <c r="D16" s="10" t="s">
        <v>620</v>
      </c>
    </row>
    <row r="17" spans="1:4" x14ac:dyDescent="0.25">
      <c r="A17" s="6" t="s">
        <v>621</v>
      </c>
      <c r="B17" s="10">
        <v>0.05</v>
      </c>
      <c r="C17" s="10" t="s">
        <v>622</v>
      </c>
      <c r="D17" s="10" t="s">
        <v>623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28" customWidth="1"/>
    <col min="4" max="4" width="32" customWidth="1"/>
  </cols>
  <sheetData>
    <row r="1" ht="28" customHeight="1" spans="1:7" x14ac:dyDescent="0.25">
      <c r="A1" s="1" t="s">
        <v>624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625</v>
      </c>
      <c r="B2" s="2"/>
      <c r="C2" s="2"/>
      <c r="D2" s="2"/>
      <c r="E2" s="2"/>
      <c r="F2" s="2"/>
      <c r="G2" s="2"/>
    </row>
    <row r="3" ht="10" customHeight="1" x14ac:dyDescent="0.25"/>
    <row r="4" spans="1:4" s="3" customFormat="1" x14ac:dyDescent="0.25">
      <c r="A4" s="12" t="s">
        <v>626</v>
      </c>
      <c r="B4" s="12" t="s">
        <v>627</v>
      </c>
      <c r="C4" s="12" t="s">
        <v>628</v>
      </c>
      <c r="D4" s="12" t="s">
        <v>629</v>
      </c>
    </row>
    <row r="5" spans="1:4" x14ac:dyDescent="0.25">
      <c r="A5" s="6" t="s">
        <v>630</v>
      </c>
      <c r="B5" s="10" t="s">
        <v>631</v>
      </c>
      <c r="C5" s="10" t="s">
        <v>632</v>
      </c>
      <c r="D5" s="10" t="s">
        <v>633</v>
      </c>
    </row>
    <row r="6" spans="1:4" x14ac:dyDescent="0.25">
      <c r="A6" s="6" t="s">
        <v>634</v>
      </c>
      <c r="B6" s="10" t="s">
        <v>635</v>
      </c>
      <c r="C6" s="10" t="s">
        <v>636</v>
      </c>
      <c r="D6" s="10" t="s">
        <v>637</v>
      </c>
    </row>
    <row r="7" spans="1:4" x14ac:dyDescent="0.25">
      <c r="A7" s="6" t="s">
        <v>638</v>
      </c>
      <c r="B7" s="10" t="s">
        <v>639</v>
      </c>
      <c r="C7" s="10" t="s">
        <v>640</v>
      </c>
      <c r="D7" s="10" t="s">
        <v>641</v>
      </c>
    </row>
    <row r="8" spans="1:4" x14ac:dyDescent="0.25">
      <c r="A8" s="6" t="s">
        <v>642</v>
      </c>
      <c r="B8" s="10" t="s">
        <v>643</v>
      </c>
      <c r="C8" s="10" t="s">
        <v>644</v>
      </c>
      <c r="D8" s="10" t="s">
        <v>645</v>
      </c>
    </row>
    <row r="9" spans="1:4" x14ac:dyDescent="0.25">
      <c r="A9" s="6" t="s">
        <v>646</v>
      </c>
      <c r="B9" s="10" t="s">
        <v>647</v>
      </c>
      <c r="C9" s="10" t="s">
        <v>648</v>
      </c>
      <c r="D9" s="10" t="s">
        <v>649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38" customWidth="1"/>
    <col min="5" max="5" width="18" customWidth="1"/>
  </cols>
  <sheetData>
    <row r="1" ht="28" customHeight="1" spans="1:7" x14ac:dyDescent="0.25">
      <c r="A1" s="1" t="s">
        <v>650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651</v>
      </c>
      <c r="B2" s="2"/>
      <c r="C2" s="2"/>
      <c r="D2" s="2"/>
      <c r="E2" s="2"/>
      <c r="F2" s="2"/>
      <c r="G2" s="2"/>
    </row>
    <row r="3" ht="10" customHeight="1" x14ac:dyDescent="0.25"/>
    <row r="4" spans="1:5" s="3" customFormat="1" x14ac:dyDescent="0.25">
      <c r="A4" s="12" t="s">
        <v>108</v>
      </c>
      <c r="B4" s="12" t="s">
        <v>652</v>
      </c>
      <c r="C4" s="12" t="s">
        <v>653</v>
      </c>
      <c r="D4" s="12" t="s">
        <v>654</v>
      </c>
      <c r="E4" s="12" t="s">
        <v>655</v>
      </c>
    </row>
    <row r="5" spans="1:5" x14ac:dyDescent="0.25">
      <c r="A5" s="6" t="s">
        <v>656</v>
      </c>
      <c r="B5" s="10" t="s">
        <v>657</v>
      </c>
      <c r="C5" s="10" t="s">
        <v>658</v>
      </c>
      <c r="D5" s="10" t="s">
        <v>659</v>
      </c>
      <c r="E5" s="10" t="s">
        <v>660</v>
      </c>
    </row>
    <row r="6" spans="1:5" x14ac:dyDescent="0.25">
      <c r="A6" s="6" t="s">
        <v>661</v>
      </c>
      <c r="B6" s="10" t="s">
        <v>662</v>
      </c>
      <c r="C6" s="10" t="s">
        <v>663</v>
      </c>
      <c r="D6" s="10" t="s">
        <v>664</v>
      </c>
      <c r="E6" s="10" t="s">
        <v>660</v>
      </c>
    </row>
    <row r="7" spans="1:5" x14ac:dyDescent="0.25">
      <c r="A7" s="6" t="s">
        <v>665</v>
      </c>
      <c r="B7" s="10" t="s">
        <v>662</v>
      </c>
      <c r="C7" s="10" t="s">
        <v>666</v>
      </c>
      <c r="D7" s="10" t="s">
        <v>667</v>
      </c>
      <c r="E7" s="10" t="s">
        <v>668</v>
      </c>
    </row>
    <row r="8" spans="1:5" x14ac:dyDescent="0.25">
      <c r="A8" s="6" t="s">
        <v>669</v>
      </c>
      <c r="B8" s="10" t="s">
        <v>670</v>
      </c>
      <c r="C8" s="10" t="s">
        <v>671</v>
      </c>
      <c r="D8" s="10" t="s">
        <v>672</v>
      </c>
      <c r="E8" s="10" t="s">
        <v>660</v>
      </c>
    </row>
    <row r="9" spans="1:5" x14ac:dyDescent="0.25">
      <c r="A9" s="6" t="s">
        <v>673</v>
      </c>
      <c r="B9" s="10" t="s">
        <v>674</v>
      </c>
      <c r="C9" s="10" t="s">
        <v>675</v>
      </c>
      <c r="D9" s="10" t="s">
        <v>676</v>
      </c>
      <c r="E9" s="10" t="s">
        <v>660</v>
      </c>
    </row>
    <row r="10" spans="1:5" x14ac:dyDescent="0.25">
      <c r="A10" s="6" t="s">
        <v>677</v>
      </c>
      <c r="B10" s="10" t="s">
        <v>678</v>
      </c>
      <c r="C10" s="10" t="s">
        <v>679</v>
      </c>
      <c r="D10" s="10" t="s">
        <v>680</v>
      </c>
      <c r="E10" s="10" t="s">
        <v>660</v>
      </c>
    </row>
    <row r="11" spans="1:5" x14ac:dyDescent="0.25">
      <c r="A11" s="6" t="s">
        <v>681</v>
      </c>
      <c r="B11" s="10" t="s">
        <v>682</v>
      </c>
      <c r="C11" s="10" t="s">
        <v>683</v>
      </c>
      <c r="D11" s="10" t="s">
        <v>684</v>
      </c>
      <c r="E11" s="10" t="s">
        <v>660</v>
      </c>
    </row>
    <row r="12" spans="1:5" x14ac:dyDescent="0.25">
      <c r="A12" s="6" t="s">
        <v>685</v>
      </c>
      <c r="B12" s="10" t="s">
        <v>686</v>
      </c>
      <c r="C12" s="10" t="s">
        <v>687</v>
      </c>
      <c r="D12" s="10" t="s">
        <v>688</v>
      </c>
      <c r="E12" s="10" t="s">
        <v>660</v>
      </c>
    </row>
    <row r="13" spans="1:5" x14ac:dyDescent="0.25">
      <c r="A13" s="6" t="s">
        <v>689</v>
      </c>
      <c r="B13" s="10" t="s">
        <v>690</v>
      </c>
      <c r="C13" s="10" t="s">
        <v>691</v>
      </c>
      <c r="D13" s="10" t="s">
        <v>692</v>
      </c>
      <c r="E13" s="10" t="s">
        <v>660</v>
      </c>
    </row>
    <row r="14" spans="1:5" x14ac:dyDescent="0.25">
      <c r="A14" s="6" t="s">
        <v>693</v>
      </c>
      <c r="B14" s="10" t="s">
        <v>694</v>
      </c>
      <c r="C14" s="10" t="s">
        <v>695</v>
      </c>
      <c r="D14" s="10" t="s">
        <v>696</v>
      </c>
      <c r="E14" s="10" t="s">
        <v>660</v>
      </c>
    </row>
    <row r="15" spans="1:5" x14ac:dyDescent="0.25">
      <c r="A15" s="6" t="s">
        <v>697</v>
      </c>
      <c r="B15" s="10" t="s">
        <v>698</v>
      </c>
      <c r="C15" s="10" t="s">
        <v>699</v>
      </c>
      <c r="D15" s="10" t="s">
        <v>700</v>
      </c>
      <c r="E15" s="10" t="s">
        <v>660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01_Dashboard</vt:lpstr>
      <vt:lpstr>02_Manual_Input</vt:lpstr>
      <vt:lpstr>03_Data_Staging</vt:lpstr>
      <vt:lpstr>04_Train_Analysis</vt:lpstr>
      <vt:lpstr>05_Engineering_Calcs</vt:lpstr>
      <vt:lpstr>06_TMP_Permeability</vt:lpstr>
      <vt:lpstr>07_Biology</vt:lpstr>
      <vt:lpstr>08_WAS_SRT</vt:lpstr>
      <vt:lpstr>09_Cleaning</vt:lpstr>
      <vt:lpstr>10_Equipment</vt:lpstr>
      <vt:lpstr>11_Events_Alarms</vt:lpstr>
      <vt:lpstr>12_Peer_Comparison</vt:lpstr>
      <vt:lpstr>13_What_If</vt:lpstr>
      <vt:lpstr>14_Prediction</vt:lpstr>
      <vt:lpstr>15_Python_Output</vt:lpstr>
      <vt:lpstr>16_Data_Quality</vt:lpstr>
      <vt:lpstr>17_Settings</vt:lpstr>
      <vt:lpstr>18_Engineering_Reference</vt:lpstr>
      <vt:lpstr>19_Audit_Log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Turgunjon Ruziboyev</dc:creator>
  <dc:title/>
  <dc:subject/>
  <dc:description/>
  <cp:keywords/>
  <cp:category/>
  <cp:lastModifiedBy>Turgunjon Ruziboyev</cp:lastModifiedBy>
  <dcterms:created xsi:type="dcterms:W3CDTF">2026-09-19T16:27:59Z</dcterms:created>
  <dcterms:modified xsi:type="dcterms:W3CDTF">2026-09-19T16:27:59Z</dcterms:modified>
</cp:coreProperties>
</file>